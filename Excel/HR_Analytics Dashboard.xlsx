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PROJECTS\HR Analytics\Excel\"/>
    </mc:Choice>
  </mc:AlternateContent>
  <xr:revisionPtr revIDLastSave="0" documentId="8_{75B9BCDB-E01A-4A61-86C8-92CB0FD2FDFF}" xr6:coauthVersionLast="47" xr6:coauthVersionMax="47" xr10:uidLastSave="{00000000-0000-0000-0000-000000000000}"/>
  <bookViews>
    <workbookView xWindow="-110" yWindow="-110" windowWidth="19420" windowHeight="10300" xr2:uid="{B098A864-4EA6-4748-8CC5-773AD14B95B2}"/>
  </bookViews>
  <sheets>
    <sheet name="HR ANALYTICS DATA" sheetId="1" r:id="rId1"/>
    <sheet name="PIVOT TABLES" sheetId="3" r:id="rId2"/>
    <sheet name="DASHBOARD" sheetId="2" r:id="rId3"/>
  </sheets>
  <definedNames>
    <definedName name="Slicer_BusinessTravel">#N/A</definedName>
    <definedName name="Slicer_Department">#N/A</definedName>
    <definedName name="Slicer_EducationField">#N/A</definedName>
    <definedName name="Slicer_Gender">#N/A</definedName>
    <definedName name="Slicer_JobRole">#N/A</definedName>
    <definedName name="Slicer_MaritalStatus">#N/A</definedName>
    <definedName name="Slicer_OverTime">#N/A</definedName>
    <definedName name="Slicer_YearsAtCompany">#N/A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3" l="1"/>
  <c r="J6" i="2" s="1"/>
  <c r="F11" i="2"/>
  <c r="B11" i="2"/>
  <c r="N6" i="2"/>
  <c r="F6" i="2"/>
  <c r="B6" i="2"/>
</calcChain>
</file>

<file path=xl/sharedStrings.xml><?xml version="1.0" encoding="utf-8"?>
<sst xmlns="http://schemas.openxmlformats.org/spreadsheetml/2006/main" count="13377" uniqueCount="81">
  <si>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</si>
  <si>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</si>
  <si>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</si>
  <si>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</si>
  <si>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</si>
  <si>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</si>
  <si>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</si>
  <si>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</si>
  <si>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</si>
  <si>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</si>
  <si>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</si>
  <si>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</si>
  <si>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</si>
  <si>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</si>
  <si>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</si>
  <si>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</si>
  <si>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</si>
  <si>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</si>
  <si>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</si>
  <si>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</si>
  <si>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</si>
  <si>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</si>
  <si>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</si>
  <si>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</si>
  <si>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</si>
  <si>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</si>
  <si>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</si>
  <si>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</si>
  <si>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</si>
  <si>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</si>
  <si>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</si>
  <si>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</si>
  <si>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</si>
  <si>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</si>
  <si>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</si>
  <si>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</si>
  <si>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</si>
  <si>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</si>
  <si>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</si>
  <si>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</si>
  <si>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</si>
  <si>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</si>
  <si>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</si>
  <si>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</si>
  <si>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</si>
  <si>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</si>
  <si>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</si>
  <si>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</si>
  <si>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</si>
  <si>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</si>
  <si>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</si>
  <si>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</si>
  <si>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</si>
  <si>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</si>
  <si>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</si>
  <si>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</si>
  <si>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</si>
  <si>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</si>
  <si>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</si>
  <si>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</si>
  <si>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</si>
  <si>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</si>
  <si>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Column1</t>
  </si>
  <si>
    <t>Grand Total</t>
  </si>
  <si>
    <t>Count of EmployeeNumber</t>
  </si>
  <si>
    <t>Job Role</t>
  </si>
  <si>
    <t>Business Travel</t>
  </si>
  <si>
    <t>Overtime</t>
  </si>
  <si>
    <t>Marital Status</t>
  </si>
  <si>
    <t>Education Field</t>
  </si>
  <si>
    <t>Average of MonthlyIncome</t>
  </si>
  <si>
    <t>Years at Company</t>
  </si>
  <si>
    <t>Average of Age</t>
  </si>
  <si>
    <t>Average of YearsAtCompany</t>
  </si>
  <si>
    <t>HR ANALYTICS DASHBOARD</t>
  </si>
  <si>
    <t>TOTAL EMPLOYEES</t>
  </si>
  <si>
    <t>ATTRITION COUNT</t>
  </si>
  <si>
    <t>ATTRITION RATE</t>
  </si>
  <si>
    <t>AVERAGE AGE</t>
  </si>
  <si>
    <t>AVERAGE INCOME</t>
  </si>
  <si>
    <t>AVG YEARS AT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</si>
</sst>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
      <b/>
      <sz val="18"/>
      <color theme="1"/>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8" fillId="33" borderId="0" xfId="0" applyFont="1" applyFill="1" applyAlignment="1">
      <alignment horizontal="center"/>
    </xf>
    <xf numFmtId="9" fontId="0" fillId="0" borderId="0" xfId="42" applyFont="1"/>
    <xf numFmtId="0" fontId="19" fillId="34" borderId="0" xfId="0" applyFont="1" applyFill="1" applyAlignment="1">
      <alignment horizontal="center" vertical="center"/>
    </xf>
    <xf numFmtId="0" fontId="20" fillId="34" borderId="0" xfId="0" applyFont="1" applyFill="1" applyAlignment="1">
      <alignment horizontal="center" vertical="center"/>
    </xf>
    <xf numFmtId="0" fontId="0" fillId="34" borderId="0" xfId="0" applyFill="1"/>
    <xf numFmtId="9" fontId="20" fillId="34" borderId="0" xfId="0" applyNumberFormat="1" applyFont="1" applyFill="1" applyAlignment="1">
      <alignment horizontal="center" vertical="center"/>
    </xf>
    <xf numFmtId="1" fontId="20" fillId="34" borderId="0" xfId="0" applyNumberFormat="1" applyFont="1" applyFill="1" applyAlignment="1">
      <alignment horizontal="center" vertical="center"/>
    </xf>
    <xf numFmtId="0" fontId="0" fillId="34" borderId="0" xfId="0" applyFill="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No</c:v>
                </c:pt>
              </c:strCache>
            </c:strRef>
          </c:tx>
          <c:spPr>
            <a:solidFill>
              <a:schemeClr val="accent1"/>
            </a:solidFill>
            <a:ln>
              <a:noFill/>
            </a:ln>
            <a:effectLst/>
          </c:spPr>
          <c:invertIfNegative val="0"/>
          <c:cat>
            <c:strRef>
              <c:f>'PIVOT TABLES'!$A$12:$A$15</c:f>
              <c:strCache>
                <c:ptCount val="3"/>
                <c:pt idx="0">
                  <c:v>Human Resources</c:v>
                </c:pt>
                <c:pt idx="1">
                  <c:v>Research &amp; Development</c:v>
                </c:pt>
                <c:pt idx="2">
                  <c:v>Sales</c:v>
                </c:pt>
              </c:strCache>
            </c:strRef>
          </c:cat>
          <c:val>
            <c:numRef>
              <c:f>'PIVOT TABLES'!$B$12:$B$15</c:f>
              <c:numCache>
                <c:formatCode>General</c:formatCode>
                <c:ptCount val="3"/>
                <c:pt idx="0">
                  <c:v>51</c:v>
                </c:pt>
                <c:pt idx="1">
                  <c:v>828</c:v>
                </c:pt>
                <c:pt idx="2">
                  <c:v>354</c:v>
                </c:pt>
              </c:numCache>
            </c:numRef>
          </c:val>
          <c:extLst>
            <c:ext xmlns:c16="http://schemas.microsoft.com/office/drawing/2014/chart" uri="{C3380CC4-5D6E-409C-BE32-E72D297353CC}">
              <c16:uniqueId val="{00000000-0036-46DA-AED3-F705BD59E1C5}"/>
            </c:ext>
          </c:extLst>
        </c:ser>
        <c:ser>
          <c:idx val="1"/>
          <c:order val="1"/>
          <c:tx>
            <c:strRef>
              <c:f>'PIVOT TABLES'!$C$10:$C$11</c:f>
              <c:strCache>
                <c:ptCount val="1"/>
                <c:pt idx="0">
                  <c:v>Yes</c:v>
                </c:pt>
              </c:strCache>
            </c:strRef>
          </c:tx>
          <c:spPr>
            <a:solidFill>
              <a:schemeClr val="accent2"/>
            </a:solidFill>
            <a:ln>
              <a:noFill/>
            </a:ln>
            <a:effectLst/>
          </c:spPr>
          <c:invertIfNegative val="0"/>
          <c:cat>
            <c:strRef>
              <c:f>'PIVOT TABLES'!$A$12:$A$15</c:f>
              <c:strCache>
                <c:ptCount val="3"/>
                <c:pt idx="0">
                  <c:v>Human Resources</c:v>
                </c:pt>
                <c:pt idx="1">
                  <c:v>Research &amp; Development</c:v>
                </c:pt>
                <c:pt idx="2">
                  <c:v>Sales</c:v>
                </c:pt>
              </c:strCache>
            </c:strRef>
          </c:cat>
          <c:val>
            <c:numRef>
              <c:f>'PIVOT TABLES'!$C$12:$C$15</c:f>
              <c:numCache>
                <c:formatCode>General</c:formatCode>
                <c:ptCount val="3"/>
                <c:pt idx="0">
                  <c:v>12</c:v>
                </c:pt>
                <c:pt idx="1">
                  <c:v>133</c:v>
                </c:pt>
                <c:pt idx="2">
                  <c:v>92</c:v>
                </c:pt>
              </c:numCache>
            </c:numRef>
          </c:val>
          <c:extLst>
            <c:ext xmlns:c16="http://schemas.microsoft.com/office/drawing/2014/chart" uri="{C3380CC4-5D6E-409C-BE32-E72D297353CC}">
              <c16:uniqueId val="{00000001-0036-46DA-AED3-F705BD59E1C5}"/>
            </c:ext>
          </c:extLst>
        </c:ser>
        <c:dLbls>
          <c:showLegendKey val="0"/>
          <c:showVal val="0"/>
          <c:showCatName val="0"/>
          <c:showSerName val="0"/>
          <c:showPercent val="0"/>
          <c:showBubbleSize val="0"/>
        </c:dLbls>
        <c:gapWidth val="219"/>
        <c:overlap val="-27"/>
        <c:axId val="1974458719"/>
        <c:axId val="1925426415"/>
      </c:barChart>
      <c:catAx>
        <c:axId val="19744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426415"/>
        <c:crosses val="autoZero"/>
        <c:auto val="1"/>
        <c:lblAlgn val="ctr"/>
        <c:lblOffset val="100"/>
        <c:noMultiLvlLbl val="0"/>
      </c:catAx>
      <c:valAx>
        <c:axId val="192542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 ROLE WISE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TABLES'!$B$19:$B$20</c:f>
              <c:strCache>
                <c:ptCount val="1"/>
                <c:pt idx="0">
                  <c:v>No</c:v>
                </c:pt>
              </c:strCache>
            </c:strRef>
          </c:tx>
          <c:spPr>
            <a:solidFill>
              <a:schemeClr val="accent1"/>
            </a:solidFill>
            <a:ln>
              <a:noFill/>
            </a:ln>
            <a:effectLst/>
          </c:spPr>
          <c:invertIfNegative val="0"/>
          <c:cat>
            <c:strRef>
              <c:f>'PIVOT TABLES'!$A$21:$A$30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TABLES'!$B$21:$B$30</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4A01-45FD-A944-FCD9E8F2A66A}"/>
            </c:ext>
          </c:extLst>
        </c:ser>
        <c:ser>
          <c:idx val="1"/>
          <c:order val="1"/>
          <c:tx>
            <c:strRef>
              <c:f>'PIVOT TABLES'!$C$19:$C$20</c:f>
              <c:strCache>
                <c:ptCount val="1"/>
                <c:pt idx="0">
                  <c:v>Yes</c:v>
                </c:pt>
              </c:strCache>
            </c:strRef>
          </c:tx>
          <c:spPr>
            <a:solidFill>
              <a:schemeClr val="accent2"/>
            </a:solidFill>
            <a:ln>
              <a:noFill/>
            </a:ln>
            <a:effectLst/>
          </c:spPr>
          <c:invertIfNegative val="0"/>
          <c:cat>
            <c:strRef>
              <c:f>'PIVOT TABLES'!$A$21:$A$30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TABLES'!$C$21:$C$30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4A01-45FD-A944-FCD9E8F2A66A}"/>
            </c:ext>
          </c:extLst>
        </c:ser>
        <c:dLbls>
          <c:showLegendKey val="0"/>
          <c:showVal val="0"/>
          <c:showCatName val="0"/>
          <c:showSerName val="0"/>
          <c:showPercent val="0"/>
          <c:showBubbleSize val="0"/>
        </c:dLbls>
        <c:gapWidth val="219"/>
        <c:overlap val="-27"/>
        <c:axId val="7291904"/>
        <c:axId val="1925424975"/>
      </c:barChart>
      <c:catAx>
        <c:axId val="729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424975"/>
        <c:crosses val="autoZero"/>
        <c:auto val="1"/>
        <c:lblAlgn val="ctr"/>
        <c:lblOffset val="100"/>
        <c:noMultiLvlLbl val="0"/>
      </c:catAx>
      <c:valAx>
        <c:axId val="19254249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BUSINESS</a:t>
            </a:r>
            <a:r>
              <a:rPr lang="en-IN" baseline="0"/>
              <a:t> TRAVEL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TABLES'!$B$34:$B$35</c:f>
              <c:strCache>
                <c:ptCount val="1"/>
                <c:pt idx="0">
                  <c:v>No</c:v>
                </c:pt>
              </c:strCache>
            </c:strRef>
          </c:tx>
          <c:spPr>
            <a:solidFill>
              <a:schemeClr val="accent1"/>
            </a:solidFill>
            <a:ln>
              <a:noFill/>
            </a:ln>
            <a:effectLst/>
          </c:spPr>
          <c:invertIfNegative val="0"/>
          <c:cat>
            <c:strRef>
              <c:f>'PIVOT TABLES'!$A$36:$A$39</c:f>
              <c:strCache>
                <c:ptCount val="3"/>
                <c:pt idx="0">
                  <c:v>Non-Travel</c:v>
                </c:pt>
                <c:pt idx="1">
                  <c:v>Travel_Frequently</c:v>
                </c:pt>
                <c:pt idx="2">
                  <c:v>Travel_Rarely</c:v>
                </c:pt>
              </c:strCache>
            </c:strRef>
          </c:cat>
          <c:val>
            <c:numRef>
              <c:f>'PIVOT TABLES'!$B$36:$B$39</c:f>
              <c:numCache>
                <c:formatCode>General</c:formatCode>
                <c:ptCount val="3"/>
                <c:pt idx="0">
                  <c:v>138</c:v>
                </c:pt>
                <c:pt idx="1">
                  <c:v>208</c:v>
                </c:pt>
                <c:pt idx="2">
                  <c:v>887</c:v>
                </c:pt>
              </c:numCache>
            </c:numRef>
          </c:val>
          <c:extLst>
            <c:ext xmlns:c16="http://schemas.microsoft.com/office/drawing/2014/chart" uri="{C3380CC4-5D6E-409C-BE32-E72D297353CC}">
              <c16:uniqueId val="{00000000-B3DD-4E45-9920-43F2CDCA5C96}"/>
            </c:ext>
          </c:extLst>
        </c:ser>
        <c:ser>
          <c:idx val="1"/>
          <c:order val="1"/>
          <c:tx>
            <c:strRef>
              <c:f>'PIVOT TABLES'!$C$34:$C$35</c:f>
              <c:strCache>
                <c:ptCount val="1"/>
                <c:pt idx="0">
                  <c:v>Yes</c:v>
                </c:pt>
              </c:strCache>
            </c:strRef>
          </c:tx>
          <c:spPr>
            <a:solidFill>
              <a:schemeClr val="accent2"/>
            </a:solidFill>
            <a:ln>
              <a:noFill/>
            </a:ln>
            <a:effectLst/>
          </c:spPr>
          <c:invertIfNegative val="0"/>
          <c:cat>
            <c:strRef>
              <c:f>'PIVOT TABLES'!$A$36:$A$39</c:f>
              <c:strCache>
                <c:ptCount val="3"/>
                <c:pt idx="0">
                  <c:v>Non-Travel</c:v>
                </c:pt>
                <c:pt idx="1">
                  <c:v>Travel_Frequently</c:v>
                </c:pt>
                <c:pt idx="2">
                  <c:v>Travel_Rarely</c:v>
                </c:pt>
              </c:strCache>
            </c:strRef>
          </c:cat>
          <c:val>
            <c:numRef>
              <c:f>'PIVOT TABLES'!$C$36:$C$39</c:f>
              <c:numCache>
                <c:formatCode>General</c:formatCode>
                <c:ptCount val="3"/>
                <c:pt idx="0">
                  <c:v>12</c:v>
                </c:pt>
                <c:pt idx="1">
                  <c:v>69</c:v>
                </c:pt>
                <c:pt idx="2">
                  <c:v>156</c:v>
                </c:pt>
              </c:numCache>
            </c:numRef>
          </c:val>
          <c:extLst>
            <c:ext xmlns:c16="http://schemas.microsoft.com/office/drawing/2014/chart" uri="{C3380CC4-5D6E-409C-BE32-E72D297353CC}">
              <c16:uniqueId val="{00000001-B3DD-4E45-9920-43F2CDCA5C96}"/>
            </c:ext>
          </c:extLst>
        </c:ser>
        <c:dLbls>
          <c:showLegendKey val="0"/>
          <c:showVal val="0"/>
          <c:showCatName val="0"/>
          <c:showSerName val="0"/>
          <c:showPercent val="0"/>
          <c:showBubbleSize val="0"/>
        </c:dLbls>
        <c:gapWidth val="182"/>
        <c:axId val="8374176"/>
        <c:axId val="1925389455"/>
      </c:barChart>
      <c:catAx>
        <c:axId val="837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89455"/>
        <c:crosses val="autoZero"/>
        <c:auto val="1"/>
        <c:lblAlgn val="ctr"/>
        <c:lblOffset val="100"/>
        <c:noMultiLvlLbl val="0"/>
      </c:catAx>
      <c:valAx>
        <c:axId val="1925389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WISE EMPLOYEE ATTRITION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TABLES'!$B$43:$B$44</c:f>
              <c:strCache>
                <c:ptCount val="1"/>
                <c:pt idx="0">
                  <c:v>No</c:v>
                </c:pt>
              </c:strCache>
            </c:strRef>
          </c:tx>
          <c:spPr>
            <a:solidFill>
              <a:schemeClr val="accent1"/>
            </a:solidFill>
            <a:ln>
              <a:noFill/>
            </a:ln>
            <a:effectLst/>
          </c:spPr>
          <c:invertIfNegative val="0"/>
          <c:cat>
            <c:strRef>
              <c:f>'PIVOT TABLES'!$A$45:$A$47</c:f>
              <c:strCache>
                <c:ptCount val="2"/>
                <c:pt idx="0">
                  <c:v>No</c:v>
                </c:pt>
                <c:pt idx="1">
                  <c:v>Yes</c:v>
                </c:pt>
              </c:strCache>
            </c:strRef>
          </c:cat>
          <c:val>
            <c:numRef>
              <c:f>'PIVOT TABLES'!$B$45:$B$47</c:f>
              <c:numCache>
                <c:formatCode>General</c:formatCode>
                <c:ptCount val="2"/>
                <c:pt idx="0">
                  <c:v>944</c:v>
                </c:pt>
                <c:pt idx="1">
                  <c:v>289</c:v>
                </c:pt>
              </c:numCache>
            </c:numRef>
          </c:val>
          <c:extLst>
            <c:ext xmlns:c16="http://schemas.microsoft.com/office/drawing/2014/chart" uri="{C3380CC4-5D6E-409C-BE32-E72D297353CC}">
              <c16:uniqueId val="{00000000-EF4C-4356-9431-B82668E92201}"/>
            </c:ext>
          </c:extLst>
        </c:ser>
        <c:ser>
          <c:idx val="1"/>
          <c:order val="1"/>
          <c:tx>
            <c:strRef>
              <c:f>'PIVOT TABLES'!$C$43:$C$44</c:f>
              <c:strCache>
                <c:ptCount val="1"/>
                <c:pt idx="0">
                  <c:v>Yes</c:v>
                </c:pt>
              </c:strCache>
            </c:strRef>
          </c:tx>
          <c:spPr>
            <a:solidFill>
              <a:schemeClr val="accent2"/>
            </a:solidFill>
            <a:ln>
              <a:noFill/>
            </a:ln>
            <a:effectLst/>
          </c:spPr>
          <c:invertIfNegative val="0"/>
          <c:cat>
            <c:strRef>
              <c:f>'PIVOT TABLES'!$A$45:$A$47</c:f>
              <c:strCache>
                <c:ptCount val="2"/>
                <c:pt idx="0">
                  <c:v>No</c:v>
                </c:pt>
                <c:pt idx="1">
                  <c:v>Yes</c:v>
                </c:pt>
              </c:strCache>
            </c:strRef>
          </c:cat>
          <c:val>
            <c:numRef>
              <c:f>'PIVOT TABLES'!$C$45:$C$47</c:f>
              <c:numCache>
                <c:formatCode>General</c:formatCode>
                <c:ptCount val="2"/>
                <c:pt idx="0">
                  <c:v>110</c:v>
                </c:pt>
                <c:pt idx="1">
                  <c:v>127</c:v>
                </c:pt>
              </c:numCache>
            </c:numRef>
          </c:val>
          <c:extLst>
            <c:ext xmlns:c16="http://schemas.microsoft.com/office/drawing/2014/chart" uri="{C3380CC4-5D6E-409C-BE32-E72D297353CC}">
              <c16:uniqueId val="{00000001-EF4C-4356-9431-B82668E92201}"/>
            </c:ext>
          </c:extLst>
        </c:ser>
        <c:dLbls>
          <c:showLegendKey val="0"/>
          <c:showVal val="0"/>
          <c:showCatName val="0"/>
          <c:showSerName val="0"/>
          <c:showPercent val="0"/>
          <c:showBubbleSize val="0"/>
        </c:dLbls>
        <c:gapWidth val="219"/>
        <c:overlap val="-27"/>
        <c:axId val="10432784"/>
        <c:axId val="1925306895"/>
      </c:barChart>
      <c:catAx>
        <c:axId val="1043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06895"/>
        <c:crosses val="autoZero"/>
        <c:auto val="1"/>
        <c:lblAlgn val="ctr"/>
        <c:lblOffset val="100"/>
        <c:noMultiLvlLbl val="0"/>
      </c:catAx>
      <c:valAx>
        <c:axId val="1925306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TABLES'!$B$72:$B$73</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EB-4E5E-9A80-36EE1A0D57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EB-4E5E-9A80-36EE1A0D57AA}"/>
              </c:ext>
            </c:extLst>
          </c:dPt>
          <c:cat>
            <c:strRef>
              <c:f>'PIVOT TABLES'!$A$74:$A$76</c:f>
              <c:strCache>
                <c:ptCount val="2"/>
                <c:pt idx="0">
                  <c:v>Female</c:v>
                </c:pt>
                <c:pt idx="1">
                  <c:v>Male</c:v>
                </c:pt>
              </c:strCache>
            </c:strRef>
          </c:cat>
          <c:val>
            <c:numRef>
              <c:f>'PIVOT TABLES'!$B$74:$B$76</c:f>
              <c:numCache>
                <c:formatCode>General</c:formatCode>
                <c:ptCount val="2"/>
                <c:pt idx="0">
                  <c:v>501</c:v>
                </c:pt>
                <c:pt idx="1">
                  <c:v>732</c:v>
                </c:pt>
              </c:numCache>
            </c:numRef>
          </c:val>
          <c:extLst>
            <c:ext xmlns:c16="http://schemas.microsoft.com/office/drawing/2014/chart" uri="{C3380CC4-5D6E-409C-BE32-E72D297353CC}">
              <c16:uniqueId val="{00000004-67EB-4E5E-9A80-36EE1A0D57AA}"/>
            </c:ext>
          </c:extLst>
        </c:ser>
        <c:ser>
          <c:idx val="1"/>
          <c:order val="1"/>
          <c:tx>
            <c:strRef>
              <c:f>'PIVOT TABLES'!$C$72:$C$73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7EB-4E5E-9A80-36EE1A0D57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7EB-4E5E-9A80-36EE1A0D57AA}"/>
              </c:ext>
            </c:extLst>
          </c:dPt>
          <c:cat>
            <c:strRef>
              <c:f>'PIVOT TABLES'!$A$74:$A$76</c:f>
              <c:strCache>
                <c:ptCount val="2"/>
                <c:pt idx="0">
                  <c:v>Female</c:v>
                </c:pt>
                <c:pt idx="1">
                  <c:v>Male</c:v>
                </c:pt>
              </c:strCache>
            </c:strRef>
          </c:cat>
          <c:val>
            <c:numRef>
              <c:f>'PIVOT TABLES'!$C$74:$C$76</c:f>
              <c:numCache>
                <c:formatCode>General</c:formatCode>
                <c:ptCount val="2"/>
                <c:pt idx="0">
                  <c:v>87</c:v>
                </c:pt>
                <c:pt idx="1">
                  <c:v>150</c:v>
                </c:pt>
              </c:numCache>
            </c:numRef>
          </c:val>
          <c:extLst>
            <c:ext xmlns:c16="http://schemas.microsoft.com/office/drawing/2014/chart" uri="{C3380CC4-5D6E-409C-BE32-E72D297353CC}">
              <c16:uniqueId val="{00000009-67EB-4E5E-9A80-36EE1A0D57A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a:t>
            </a:r>
            <a:r>
              <a:rPr lang="en-IN" baseline="0"/>
              <a:t> FIELD WISE EMPLOYEE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TABLES'!$B$60:$B$61</c:f>
              <c:strCache>
                <c:ptCount val="1"/>
                <c:pt idx="0">
                  <c:v>No</c:v>
                </c:pt>
              </c:strCache>
            </c:strRef>
          </c:tx>
          <c:spPr>
            <a:solidFill>
              <a:schemeClr val="accent1"/>
            </a:solidFill>
            <a:ln>
              <a:noFill/>
            </a:ln>
            <a:effectLst/>
          </c:spPr>
          <c:invertIfNegative val="0"/>
          <c:cat>
            <c:strRef>
              <c:f>'PIVOT TABLES'!$A$62:$A$68</c:f>
              <c:strCache>
                <c:ptCount val="6"/>
                <c:pt idx="0">
                  <c:v>Human Resources</c:v>
                </c:pt>
                <c:pt idx="1">
                  <c:v>Life Sciences</c:v>
                </c:pt>
                <c:pt idx="2">
                  <c:v>Marketing</c:v>
                </c:pt>
                <c:pt idx="3">
                  <c:v>Medical</c:v>
                </c:pt>
                <c:pt idx="4">
                  <c:v>Other</c:v>
                </c:pt>
                <c:pt idx="5">
                  <c:v>Technical Degree</c:v>
                </c:pt>
              </c:strCache>
            </c:strRef>
          </c:cat>
          <c:val>
            <c:numRef>
              <c:f>'PIVOT TABLES'!$B$62:$B$68</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C7C9-4DE6-9F89-DB8463CE1FB9}"/>
            </c:ext>
          </c:extLst>
        </c:ser>
        <c:ser>
          <c:idx val="1"/>
          <c:order val="1"/>
          <c:tx>
            <c:strRef>
              <c:f>'PIVOT TABLES'!$C$60:$C$61</c:f>
              <c:strCache>
                <c:ptCount val="1"/>
                <c:pt idx="0">
                  <c:v>Yes</c:v>
                </c:pt>
              </c:strCache>
            </c:strRef>
          </c:tx>
          <c:spPr>
            <a:solidFill>
              <a:schemeClr val="accent2"/>
            </a:solidFill>
            <a:ln>
              <a:noFill/>
            </a:ln>
            <a:effectLst/>
          </c:spPr>
          <c:invertIfNegative val="0"/>
          <c:cat>
            <c:strRef>
              <c:f>'PIVOT TABLES'!$A$62:$A$68</c:f>
              <c:strCache>
                <c:ptCount val="6"/>
                <c:pt idx="0">
                  <c:v>Human Resources</c:v>
                </c:pt>
                <c:pt idx="1">
                  <c:v>Life Sciences</c:v>
                </c:pt>
                <c:pt idx="2">
                  <c:v>Marketing</c:v>
                </c:pt>
                <c:pt idx="3">
                  <c:v>Medical</c:v>
                </c:pt>
                <c:pt idx="4">
                  <c:v>Other</c:v>
                </c:pt>
                <c:pt idx="5">
                  <c:v>Technical Degree</c:v>
                </c:pt>
              </c:strCache>
            </c:strRef>
          </c:cat>
          <c:val>
            <c:numRef>
              <c:f>'PIVOT TABLES'!$C$62:$C$68</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1-C7C9-4DE6-9F89-DB8463CE1FB9}"/>
            </c:ext>
          </c:extLst>
        </c:ser>
        <c:dLbls>
          <c:showLegendKey val="0"/>
          <c:showVal val="0"/>
          <c:showCatName val="0"/>
          <c:showSerName val="0"/>
          <c:showPercent val="0"/>
          <c:showBubbleSize val="0"/>
        </c:dLbls>
        <c:gapWidth val="182"/>
        <c:axId val="10454128"/>
        <c:axId val="1925374095"/>
      </c:barChart>
      <c:catAx>
        <c:axId val="1045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74095"/>
        <c:crosses val="autoZero"/>
        <c:auto val="1"/>
        <c:lblAlgn val="ctr"/>
        <c:lblOffset val="100"/>
        <c:noMultiLvlLbl val="0"/>
      </c:catAx>
      <c:valAx>
        <c:axId val="192537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MARITAL</a:t>
            </a:r>
            <a:r>
              <a:rPr lang="en-IN" baseline="0"/>
              <a:t> STATUS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TABLES'!$B$51:$B$52</c:f>
              <c:strCache>
                <c:ptCount val="1"/>
                <c:pt idx="0">
                  <c:v>No</c:v>
                </c:pt>
              </c:strCache>
            </c:strRef>
          </c:tx>
          <c:spPr>
            <a:solidFill>
              <a:schemeClr val="accent1"/>
            </a:solidFill>
            <a:ln>
              <a:noFill/>
            </a:ln>
            <a:effectLst/>
          </c:spPr>
          <c:invertIfNegative val="0"/>
          <c:cat>
            <c:strRef>
              <c:f>'PIVOT TABLES'!$A$53:$A$56</c:f>
              <c:strCache>
                <c:ptCount val="3"/>
                <c:pt idx="0">
                  <c:v>Divorced</c:v>
                </c:pt>
                <c:pt idx="1">
                  <c:v>Married</c:v>
                </c:pt>
                <c:pt idx="2">
                  <c:v>Single</c:v>
                </c:pt>
              </c:strCache>
            </c:strRef>
          </c:cat>
          <c:val>
            <c:numRef>
              <c:f>'PIVOT TABLES'!$B$53:$B$56</c:f>
              <c:numCache>
                <c:formatCode>General</c:formatCode>
                <c:ptCount val="3"/>
                <c:pt idx="0">
                  <c:v>294</c:v>
                </c:pt>
                <c:pt idx="1">
                  <c:v>589</c:v>
                </c:pt>
                <c:pt idx="2">
                  <c:v>350</c:v>
                </c:pt>
              </c:numCache>
            </c:numRef>
          </c:val>
          <c:extLst>
            <c:ext xmlns:c16="http://schemas.microsoft.com/office/drawing/2014/chart" uri="{C3380CC4-5D6E-409C-BE32-E72D297353CC}">
              <c16:uniqueId val="{00000000-8694-4D1D-AB6B-18ACFF963152}"/>
            </c:ext>
          </c:extLst>
        </c:ser>
        <c:ser>
          <c:idx val="1"/>
          <c:order val="1"/>
          <c:tx>
            <c:strRef>
              <c:f>'PIVOT TABLES'!$C$51:$C$52</c:f>
              <c:strCache>
                <c:ptCount val="1"/>
                <c:pt idx="0">
                  <c:v>Yes</c:v>
                </c:pt>
              </c:strCache>
            </c:strRef>
          </c:tx>
          <c:spPr>
            <a:solidFill>
              <a:schemeClr val="accent2"/>
            </a:solidFill>
            <a:ln>
              <a:noFill/>
            </a:ln>
            <a:effectLst/>
          </c:spPr>
          <c:invertIfNegative val="0"/>
          <c:cat>
            <c:strRef>
              <c:f>'PIVOT TABLES'!$A$53:$A$56</c:f>
              <c:strCache>
                <c:ptCount val="3"/>
                <c:pt idx="0">
                  <c:v>Divorced</c:v>
                </c:pt>
                <c:pt idx="1">
                  <c:v>Married</c:v>
                </c:pt>
                <c:pt idx="2">
                  <c:v>Single</c:v>
                </c:pt>
              </c:strCache>
            </c:strRef>
          </c:cat>
          <c:val>
            <c:numRef>
              <c:f>'PIVOT TABLES'!$C$53:$C$56</c:f>
              <c:numCache>
                <c:formatCode>General</c:formatCode>
                <c:ptCount val="3"/>
                <c:pt idx="0">
                  <c:v>33</c:v>
                </c:pt>
                <c:pt idx="1">
                  <c:v>84</c:v>
                </c:pt>
                <c:pt idx="2">
                  <c:v>120</c:v>
                </c:pt>
              </c:numCache>
            </c:numRef>
          </c:val>
          <c:extLst>
            <c:ext xmlns:c16="http://schemas.microsoft.com/office/drawing/2014/chart" uri="{C3380CC4-5D6E-409C-BE32-E72D297353CC}">
              <c16:uniqueId val="{00000001-8694-4D1D-AB6B-18ACFF963152}"/>
            </c:ext>
          </c:extLst>
        </c:ser>
        <c:dLbls>
          <c:showLegendKey val="0"/>
          <c:showVal val="0"/>
          <c:showCatName val="0"/>
          <c:showSerName val="0"/>
          <c:showPercent val="0"/>
          <c:showBubbleSize val="0"/>
        </c:dLbls>
        <c:gapWidth val="219"/>
        <c:overlap val="-27"/>
        <c:axId val="38243008"/>
        <c:axId val="1925388975"/>
      </c:barChart>
      <c:catAx>
        <c:axId val="3824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88975"/>
        <c:crosses val="autoZero"/>
        <c:auto val="1"/>
        <c:lblAlgn val="ctr"/>
        <c:lblOffset val="100"/>
        <c:noMultiLvlLbl val="0"/>
      </c:catAx>
      <c:valAx>
        <c:axId val="192538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4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Dashboard.xlsx]PIVOT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YEARS</a:t>
            </a:r>
            <a:r>
              <a:rPr lang="en-IN" baseline="0"/>
              <a:t> AT COMPANY WISE EMPLOYEE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TABLES'!$B$80:$B$81</c:f>
              <c:strCache>
                <c:ptCount val="1"/>
                <c:pt idx="0">
                  <c:v>0</c:v>
                </c:pt>
              </c:strCache>
            </c:strRef>
          </c:tx>
          <c:spPr>
            <a:solidFill>
              <a:schemeClr val="accent1"/>
            </a:solidFill>
            <a:ln>
              <a:noFill/>
            </a:ln>
            <a:effectLst/>
          </c:spPr>
          <c:invertIfNegative val="0"/>
          <c:cat>
            <c:strRef>
              <c:f>'PIVOT TABLES'!$A$82:$A$84</c:f>
              <c:strCache>
                <c:ptCount val="2"/>
                <c:pt idx="0">
                  <c:v>No</c:v>
                </c:pt>
                <c:pt idx="1">
                  <c:v>Yes</c:v>
                </c:pt>
              </c:strCache>
            </c:strRef>
          </c:cat>
          <c:val>
            <c:numRef>
              <c:f>'PIVOT TABLES'!$B$82:$B$84</c:f>
              <c:numCache>
                <c:formatCode>General</c:formatCode>
                <c:ptCount val="2"/>
                <c:pt idx="0">
                  <c:v>28</c:v>
                </c:pt>
                <c:pt idx="1">
                  <c:v>16</c:v>
                </c:pt>
              </c:numCache>
            </c:numRef>
          </c:val>
          <c:extLst>
            <c:ext xmlns:c16="http://schemas.microsoft.com/office/drawing/2014/chart" uri="{C3380CC4-5D6E-409C-BE32-E72D297353CC}">
              <c16:uniqueId val="{00000000-E59E-4AD5-BC01-D85F82DEA75F}"/>
            </c:ext>
          </c:extLst>
        </c:ser>
        <c:ser>
          <c:idx val="1"/>
          <c:order val="1"/>
          <c:tx>
            <c:strRef>
              <c:f>'PIVOT TABLES'!$C$80:$C$81</c:f>
              <c:strCache>
                <c:ptCount val="1"/>
                <c:pt idx="0">
                  <c:v>1</c:v>
                </c:pt>
              </c:strCache>
            </c:strRef>
          </c:tx>
          <c:spPr>
            <a:solidFill>
              <a:schemeClr val="accent2"/>
            </a:solidFill>
            <a:ln>
              <a:noFill/>
            </a:ln>
            <a:effectLst/>
          </c:spPr>
          <c:invertIfNegative val="0"/>
          <c:cat>
            <c:strRef>
              <c:f>'PIVOT TABLES'!$A$82:$A$84</c:f>
              <c:strCache>
                <c:ptCount val="2"/>
                <c:pt idx="0">
                  <c:v>No</c:v>
                </c:pt>
                <c:pt idx="1">
                  <c:v>Yes</c:v>
                </c:pt>
              </c:strCache>
            </c:strRef>
          </c:cat>
          <c:val>
            <c:numRef>
              <c:f>'PIVOT TABLES'!$C$82:$C$84</c:f>
              <c:numCache>
                <c:formatCode>General</c:formatCode>
                <c:ptCount val="2"/>
                <c:pt idx="0">
                  <c:v>112</c:v>
                </c:pt>
                <c:pt idx="1">
                  <c:v>59</c:v>
                </c:pt>
              </c:numCache>
            </c:numRef>
          </c:val>
          <c:extLst>
            <c:ext xmlns:c16="http://schemas.microsoft.com/office/drawing/2014/chart" uri="{C3380CC4-5D6E-409C-BE32-E72D297353CC}">
              <c16:uniqueId val="{00000001-E59E-4AD5-BC01-D85F82DEA75F}"/>
            </c:ext>
          </c:extLst>
        </c:ser>
        <c:ser>
          <c:idx val="2"/>
          <c:order val="2"/>
          <c:tx>
            <c:strRef>
              <c:f>'PIVOT TABLES'!$D$80:$D$81</c:f>
              <c:strCache>
                <c:ptCount val="1"/>
                <c:pt idx="0">
                  <c:v>2</c:v>
                </c:pt>
              </c:strCache>
            </c:strRef>
          </c:tx>
          <c:spPr>
            <a:solidFill>
              <a:schemeClr val="accent3"/>
            </a:solidFill>
            <a:ln>
              <a:noFill/>
            </a:ln>
            <a:effectLst/>
          </c:spPr>
          <c:invertIfNegative val="0"/>
          <c:cat>
            <c:strRef>
              <c:f>'PIVOT TABLES'!$A$82:$A$84</c:f>
              <c:strCache>
                <c:ptCount val="2"/>
                <c:pt idx="0">
                  <c:v>No</c:v>
                </c:pt>
                <c:pt idx="1">
                  <c:v>Yes</c:v>
                </c:pt>
              </c:strCache>
            </c:strRef>
          </c:cat>
          <c:val>
            <c:numRef>
              <c:f>'PIVOT TABLES'!$D$82:$D$84</c:f>
              <c:numCache>
                <c:formatCode>General</c:formatCode>
                <c:ptCount val="2"/>
                <c:pt idx="0">
                  <c:v>100</c:v>
                </c:pt>
                <c:pt idx="1">
                  <c:v>27</c:v>
                </c:pt>
              </c:numCache>
            </c:numRef>
          </c:val>
          <c:extLst>
            <c:ext xmlns:c16="http://schemas.microsoft.com/office/drawing/2014/chart" uri="{C3380CC4-5D6E-409C-BE32-E72D297353CC}">
              <c16:uniqueId val="{00000002-E59E-4AD5-BC01-D85F82DEA75F}"/>
            </c:ext>
          </c:extLst>
        </c:ser>
        <c:ser>
          <c:idx val="3"/>
          <c:order val="3"/>
          <c:tx>
            <c:strRef>
              <c:f>'PIVOT TABLES'!$E$80:$E$81</c:f>
              <c:strCache>
                <c:ptCount val="1"/>
                <c:pt idx="0">
                  <c:v>3</c:v>
                </c:pt>
              </c:strCache>
            </c:strRef>
          </c:tx>
          <c:spPr>
            <a:solidFill>
              <a:schemeClr val="accent4"/>
            </a:solidFill>
            <a:ln>
              <a:noFill/>
            </a:ln>
            <a:effectLst/>
          </c:spPr>
          <c:invertIfNegative val="0"/>
          <c:cat>
            <c:strRef>
              <c:f>'PIVOT TABLES'!$A$82:$A$84</c:f>
              <c:strCache>
                <c:ptCount val="2"/>
                <c:pt idx="0">
                  <c:v>No</c:v>
                </c:pt>
                <c:pt idx="1">
                  <c:v>Yes</c:v>
                </c:pt>
              </c:strCache>
            </c:strRef>
          </c:cat>
          <c:val>
            <c:numRef>
              <c:f>'PIVOT TABLES'!$E$82:$E$84</c:f>
              <c:numCache>
                <c:formatCode>General</c:formatCode>
                <c:ptCount val="2"/>
                <c:pt idx="0">
                  <c:v>108</c:v>
                </c:pt>
                <c:pt idx="1">
                  <c:v>20</c:v>
                </c:pt>
              </c:numCache>
            </c:numRef>
          </c:val>
          <c:extLst>
            <c:ext xmlns:c16="http://schemas.microsoft.com/office/drawing/2014/chart" uri="{C3380CC4-5D6E-409C-BE32-E72D297353CC}">
              <c16:uniqueId val="{00000003-E59E-4AD5-BC01-D85F82DEA75F}"/>
            </c:ext>
          </c:extLst>
        </c:ser>
        <c:ser>
          <c:idx val="4"/>
          <c:order val="4"/>
          <c:tx>
            <c:strRef>
              <c:f>'PIVOT TABLES'!$F$80:$F$81</c:f>
              <c:strCache>
                <c:ptCount val="1"/>
                <c:pt idx="0">
                  <c:v>4</c:v>
                </c:pt>
              </c:strCache>
            </c:strRef>
          </c:tx>
          <c:spPr>
            <a:solidFill>
              <a:schemeClr val="accent5"/>
            </a:solidFill>
            <a:ln>
              <a:noFill/>
            </a:ln>
            <a:effectLst/>
          </c:spPr>
          <c:invertIfNegative val="0"/>
          <c:cat>
            <c:strRef>
              <c:f>'PIVOT TABLES'!$A$82:$A$84</c:f>
              <c:strCache>
                <c:ptCount val="2"/>
                <c:pt idx="0">
                  <c:v>No</c:v>
                </c:pt>
                <c:pt idx="1">
                  <c:v>Yes</c:v>
                </c:pt>
              </c:strCache>
            </c:strRef>
          </c:cat>
          <c:val>
            <c:numRef>
              <c:f>'PIVOT TABLES'!$F$82:$F$84</c:f>
              <c:numCache>
                <c:formatCode>General</c:formatCode>
                <c:ptCount val="2"/>
                <c:pt idx="0">
                  <c:v>91</c:v>
                </c:pt>
                <c:pt idx="1">
                  <c:v>19</c:v>
                </c:pt>
              </c:numCache>
            </c:numRef>
          </c:val>
          <c:extLst>
            <c:ext xmlns:c16="http://schemas.microsoft.com/office/drawing/2014/chart" uri="{C3380CC4-5D6E-409C-BE32-E72D297353CC}">
              <c16:uniqueId val="{00000004-E59E-4AD5-BC01-D85F82DEA75F}"/>
            </c:ext>
          </c:extLst>
        </c:ser>
        <c:ser>
          <c:idx val="5"/>
          <c:order val="5"/>
          <c:tx>
            <c:strRef>
              <c:f>'PIVOT TABLES'!$G$80:$G$81</c:f>
              <c:strCache>
                <c:ptCount val="1"/>
                <c:pt idx="0">
                  <c:v>5</c:v>
                </c:pt>
              </c:strCache>
            </c:strRef>
          </c:tx>
          <c:spPr>
            <a:solidFill>
              <a:schemeClr val="accent6"/>
            </a:solidFill>
            <a:ln>
              <a:noFill/>
            </a:ln>
            <a:effectLst/>
          </c:spPr>
          <c:invertIfNegative val="0"/>
          <c:cat>
            <c:strRef>
              <c:f>'PIVOT TABLES'!$A$82:$A$84</c:f>
              <c:strCache>
                <c:ptCount val="2"/>
                <c:pt idx="0">
                  <c:v>No</c:v>
                </c:pt>
                <c:pt idx="1">
                  <c:v>Yes</c:v>
                </c:pt>
              </c:strCache>
            </c:strRef>
          </c:cat>
          <c:val>
            <c:numRef>
              <c:f>'PIVOT TABLES'!$G$82:$G$84</c:f>
              <c:numCache>
                <c:formatCode>General</c:formatCode>
                <c:ptCount val="2"/>
                <c:pt idx="0">
                  <c:v>175</c:v>
                </c:pt>
                <c:pt idx="1">
                  <c:v>21</c:v>
                </c:pt>
              </c:numCache>
            </c:numRef>
          </c:val>
          <c:extLst>
            <c:ext xmlns:c16="http://schemas.microsoft.com/office/drawing/2014/chart" uri="{C3380CC4-5D6E-409C-BE32-E72D297353CC}">
              <c16:uniqueId val="{00000005-E59E-4AD5-BC01-D85F82DEA75F}"/>
            </c:ext>
          </c:extLst>
        </c:ser>
        <c:ser>
          <c:idx val="6"/>
          <c:order val="6"/>
          <c:tx>
            <c:strRef>
              <c:f>'PIVOT TABLES'!$H$80:$H$81</c:f>
              <c:strCache>
                <c:ptCount val="1"/>
                <c:pt idx="0">
                  <c:v>6</c:v>
                </c:pt>
              </c:strCache>
            </c:strRef>
          </c:tx>
          <c:spPr>
            <a:solidFill>
              <a:schemeClr val="accent1">
                <a:lumMod val="60000"/>
              </a:schemeClr>
            </a:solidFill>
            <a:ln>
              <a:noFill/>
            </a:ln>
            <a:effectLst/>
          </c:spPr>
          <c:invertIfNegative val="0"/>
          <c:cat>
            <c:strRef>
              <c:f>'PIVOT TABLES'!$A$82:$A$84</c:f>
              <c:strCache>
                <c:ptCount val="2"/>
                <c:pt idx="0">
                  <c:v>No</c:v>
                </c:pt>
                <c:pt idx="1">
                  <c:v>Yes</c:v>
                </c:pt>
              </c:strCache>
            </c:strRef>
          </c:cat>
          <c:val>
            <c:numRef>
              <c:f>'PIVOT TABLES'!$H$82:$H$84</c:f>
              <c:numCache>
                <c:formatCode>General</c:formatCode>
                <c:ptCount val="2"/>
                <c:pt idx="0">
                  <c:v>67</c:v>
                </c:pt>
                <c:pt idx="1">
                  <c:v>9</c:v>
                </c:pt>
              </c:numCache>
            </c:numRef>
          </c:val>
          <c:extLst>
            <c:ext xmlns:c16="http://schemas.microsoft.com/office/drawing/2014/chart" uri="{C3380CC4-5D6E-409C-BE32-E72D297353CC}">
              <c16:uniqueId val="{00000006-E59E-4AD5-BC01-D85F82DEA75F}"/>
            </c:ext>
          </c:extLst>
        </c:ser>
        <c:ser>
          <c:idx val="7"/>
          <c:order val="7"/>
          <c:tx>
            <c:strRef>
              <c:f>'PIVOT TABLES'!$I$80:$I$81</c:f>
              <c:strCache>
                <c:ptCount val="1"/>
                <c:pt idx="0">
                  <c:v>7</c:v>
                </c:pt>
              </c:strCache>
            </c:strRef>
          </c:tx>
          <c:spPr>
            <a:solidFill>
              <a:schemeClr val="accent2">
                <a:lumMod val="60000"/>
              </a:schemeClr>
            </a:solidFill>
            <a:ln>
              <a:noFill/>
            </a:ln>
            <a:effectLst/>
          </c:spPr>
          <c:invertIfNegative val="0"/>
          <c:cat>
            <c:strRef>
              <c:f>'PIVOT TABLES'!$A$82:$A$84</c:f>
              <c:strCache>
                <c:ptCount val="2"/>
                <c:pt idx="0">
                  <c:v>No</c:v>
                </c:pt>
                <c:pt idx="1">
                  <c:v>Yes</c:v>
                </c:pt>
              </c:strCache>
            </c:strRef>
          </c:cat>
          <c:val>
            <c:numRef>
              <c:f>'PIVOT TABLES'!$I$82:$I$84</c:f>
              <c:numCache>
                <c:formatCode>General</c:formatCode>
                <c:ptCount val="2"/>
                <c:pt idx="0">
                  <c:v>79</c:v>
                </c:pt>
                <c:pt idx="1">
                  <c:v>11</c:v>
                </c:pt>
              </c:numCache>
            </c:numRef>
          </c:val>
          <c:extLst>
            <c:ext xmlns:c16="http://schemas.microsoft.com/office/drawing/2014/chart" uri="{C3380CC4-5D6E-409C-BE32-E72D297353CC}">
              <c16:uniqueId val="{00000007-E59E-4AD5-BC01-D85F82DEA75F}"/>
            </c:ext>
          </c:extLst>
        </c:ser>
        <c:ser>
          <c:idx val="8"/>
          <c:order val="8"/>
          <c:tx>
            <c:strRef>
              <c:f>'PIVOT TABLES'!$J$80:$J$81</c:f>
              <c:strCache>
                <c:ptCount val="1"/>
                <c:pt idx="0">
                  <c:v>8</c:v>
                </c:pt>
              </c:strCache>
            </c:strRef>
          </c:tx>
          <c:spPr>
            <a:solidFill>
              <a:schemeClr val="accent3">
                <a:lumMod val="60000"/>
              </a:schemeClr>
            </a:solidFill>
            <a:ln>
              <a:noFill/>
            </a:ln>
            <a:effectLst/>
          </c:spPr>
          <c:invertIfNegative val="0"/>
          <c:cat>
            <c:strRef>
              <c:f>'PIVOT TABLES'!$A$82:$A$84</c:f>
              <c:strCache>
                <c:ptCount val="2"/>
                <c:pt idx="0">
                  <c:v>No</c:v>
                </c:pt>
                <c:pt idx="1">
                  <c:v>Yes</c:v>
                </c:pt>
              </c:strCache>
            </c:strRef>
          </c:cat>
          <c:val>
            <c:numRef>
              <c:f>'PIVOT TABLES'!$J$82:$J$84</c:f>
              <c:numCache>
                <c:formatCode>General</c:formatCode>
                <c:ptCount val="2"/>
                <c:pt idx="0">
                  <c:v>71</c:v>
                </c:pt>
                <c:pt idx="1">
                  <c:v>9</c:v>
                </c:pt>
              </c:numCache>
            </c:numRef>
          </c:val>
          <c:extLst>
            <c:ext xmlns:c16="http://schemas.microsoft.com/office/drawing/2014/chart" uri="{C3380CC4-5D6E-409C-BE32-E72D297353CC}">
              <c16:uniqueId val="{00000008-E59E-4AD5-BC01-D85F82DEA75F}"/>
            </c:ext>
          </c:extLst>
        </c:ser>
        <c:ser>
          <c:idx val="9"/>
          <c:order val="9"/>
          <c:tx>
            <c:strRef>
              <c:f>'PIVOT TABLES'!$K$80:$K$81</c:f>
              <c:strCache>
                <c:ptCount val="1"/>
                <c:pt idx="0">
                  <c:v>9</c:v>
                </c:pt>
              </c:strCache>
            </c:strRef>
          </c:tx>
          <c:spPr>
            <a:solidFill>
              <a:schemeClr val="accent4">
                <a:lumMod val="60000"/>
              </a:schemeClr>
            </a:solidFill>
            <a:ln>
              <a:noFill/>
            </a:ln>
            <a:effectLst/>
          </c:spPr>
          <c:invertIfNegative val="0"/>
          <c:cat>
            <c:strRef>
              <c:f>'PIVOT TABLES'!$A$82:$A$84</c:f>
              <c:strCache>
                <c:ptCount val="2"/>
                <c:pt idx="0">
                  <c:v>No</c:v>
                </c:pt>
                <c:pt idx="1">
                  <c:v>Yes</c:v>
                </c:pt>
              </c:strCache>
            </c:strRef>
          </c:cat>
          <c:val>
            <c:numRef>
              <c:f>'PIVOT TABLES'!$K$82:$K$84</c:f>
              <c:numCache>
                <c:formatCode>General</c:formatCode>
                <c:ptCount val="2"/>
                <c:pt idx="0">
                  <c:v>74</c:v>
                </c:pt>
                <c:pt idx="1">
                  <c:v>8</c:v>
                </c:pt>
              </c:numCache>
            </c:numRef>
          </c:val>
          <c:extLst>
            <c:ext xmlns:c16="http://schemas.microsoft.com/office/drawing/2014/chart" uri="{C3380CC4-5D6E-409C-BE32-E72D297353CC}">
              <c16:uniqueId val="{00000009-E59E-4AD5-BC01-D85F82DEA75F}"/>
            </c:ext>
          </c:extLst>
        </c:ser>
        <c:ser>
          <c:idx val="10"/>
          <c:order val="10"/>
          <c:tx>
            <c:strRef>
              <c:f>'PIVOT TABLES'!$L$80:$L$81</c:f>
              <c:strCache>
                <c:ptCount val="1"/>
                <c:pt idx="0">
                  <c:v>10</c:v>
                </c:pt>
              </c:strCache>
            </c:strRef>
          </c:tx>
          <c:spPr>
            <a:solidFill>
              <a:schemeClr val="accent5">
                <a:lumMod val="60000"/>
              </a:schemeClr>
            </a:solidFill>
            <a:ln>
              <a:noFill/>
            </a:ln>
            <a:effectLst/>
          </c:spPr>
          <c:invertIfNegative val="0"/>
          <c:cat>
            <c:strRef>
              <c:f>'PIVOT TABLES'!$A$82:$A$84</c:f>
              <c:strCache>
                <c:ptCount val="2"/>
                <c:pt idx="0">
                  <c:v>No</c:v>
                </c:pt>
                <c:pt idx="1">
                  <c:v>Yes</c:v>
                </c:pt>
              </c:strCache>
            </c:strRef>
          </c:cat>
          <c:val>
            <c:numRef>
              <c:f>'PIVOT TABLES'!$L$82:$L$84</c:f>
              <c:numCache>
                <c:formatCode>General</c:formatCode>
                <c:ptCount val="2"/>
                <c:pt idx="0">
                  <c:v>102</c:v>
                </c:pt>
                <c:pt idx="1">
                  <c:v>18</c:v>
                </c:pt>
              </c:numCache>
            </c:numRef>
          </c:val>
          <c:extLst>
            <c:ext xmlns:c16="http://schemas.microsoft.com/office/drawing/2014/chart" uri="{C3380CC4-5D6E-409C-BE32-E72D297353CC}">
              <c16:uniqueId val="{0000000A-E59E-4AD5-BC01-D85F82DEA75F}"/>
            </c:ext>
          </c:extLst>
        </c:ser>
        <c:ser>
          <c:idx val="11"/>
          <c:order val="11"/>
          <c:tx>
            <c:strRef>
              <c:f>'PIVOT TABLES'!$M$80:$M$81</c:f>
              <c:strCache>
                <c:ptCount val="1"/>
                <c:pt idx="0">
                  <c:v>11</c:v>
                </c:pt>
              </c:strCache>
            </c:strRef>
          </c:tx>
          <c:spPr>
            <a:solidFill>
              <a:schemeClr val="accent6">
                <a:lumMod val="60000"/>
              </a:schemeClr>
            </a:solidFill>
            <a:ln>
              <a:noFill/>
            </a:ln>
            <a:effectLst/>
          </c:spPr>
          <c:invertIfNegative val="0"/>
          <c:cat>
            <c:strRef>
              <c:f>'PIVOT TABLES'!$A$82:$A$84</c:f>
              <c:strCache>
                <c:ptCount val="2"/>
                <c:pt idx="0">
                  <c:v>No</c:v>
                </c:pt>
                <c:pt idx="1">
                  <c:v>Yes</c:v>
                </c:pt>
              </c:strCache>
            </c:strRef>
          </c:cat>
          <c:val>
            <c:numRef>
              <c:f>'PIVOT TABLES'!$M$82:$M$84</c:f>
              <c:numCache>
                <c:formatCode>General</c:formatCode>
                <c:ptCount val="2"/>
                <c:pt idx="0">
                  <c:v>30</c:v>
                </c:pt>
                <c:pt idx="1">
                  <c:v>2</c:v>
                </c:pt>
              </c:numCache>
            </c:numRef>
          </c:val>
          <c:extLst>
            <c:ext xmlns:c16="http://schemas.microsoft.com/office/drawing/2014/chart" uri="{C3380CC4-5D6E-409C-BE32-E72D297353CC}">
              <c16:uniqueId val="{0000000B-E59E-4AD5-BC01-D85F82DEA75F}"/>
            </c:ext>
          </c:extLst>
        </c:ser>
        <c:ser>
          <c:idx val="12"/>
          <c:order val="12"/>
          <c:tx>
            <c:strRef>
              <c:f>'PIVOT TABLES'!$N$80:$N$81</c:f>
              <c:strCache>
                <c:ptCount val="1"/>
                <c:pt idx="0">
                  <c:v>12</c:v>
                </c:pt>
              </c:strCache>
            </c:strRef>
          </c:tx>
          <c:spPr>
            <a:solidFill>
              <a:schemeClr val="accent1">
                <a:lumMod val="80000"/>
                <a:lumOff val="20000"/>
              </a:schemeClr>
            </a:solidFill>
            <a:ln>
              <a:noFill/>
            </a:ln>
            <a:effectLst/>
          </c:spPr>
          <c:invertIfNegative val="0"/>
          <c:cat>
            <c:strRef>
              <c:f>'PIVOT TABLES'!$A$82:$A$84</c:f>
              <c:strCache>
                <c:ptCount val="2"/>
                <c:pt idx="0">
                  <c:v>No</c:v>
                </c:pt>
                <c:pt idx="1">
                  <c:v>Yes</c:v>
                </c:pt>
              </c:strCache>
            </c:strRef>
          </c:cat>
          <c:val>
            <c:numRef>
              <c:f>'PIVOT TABLES'!$N$82:$N$84</c:f>
              <c:numCache>
                <c:formatCode>General</c:formatCode>
                <c:ptCount val="2"/>
                <c:pt idx="0">
                  <c:v>14</c:v>
                </c:pt>
              </c:numCache>
            </c:numRef>
          </c:val>
          <c:extLst>
            <c:ext xmlns:c16="http://schemas.microsoft.com/office/drawing/2014/chart" uri="{C3380CC4-5D6E-409C-BE32-E72D297353CC}">
              <c16:uniqueId val="{0000000C-E59E-4AD5-BC01-D85F82DEA75F}"/>
            </c:ext>
          </c:extLst>
        </c:ser>
        <c:ser>
          <c:idx val="13"/>
          <c:order val="13"/>
          <c:tx>
            <c:strRef>
              <c:f>'PIVOT TABLES'!$O$80:$O$81</c:f>
              <c:strCache>
                <c:ptCount val="1"/>
                <c:pt idx="0">
                  <c:v>13</c:v>
                </c:pt>
              </c:strCache>
            </c:strRef>
          </c:tx>
          <c:spPr>
            <a:solidFill>
              <a:schemeClr val="accent2">
                <a:lumMod val="80000"/>
                <a:lumOff val="20000"/>
              </a:schemeClr>
            </a:solidFill>
            <a:ln>
              <a:noFill/>
            </a:ln>
            <a:effectLst/>
          </c:spPr>
          <c:invertIfNegative val="0"/>
          <c:cat>
            <c:strRef>
              <c:f>'PIVOT TABLES'!$A$82:$A$84</c:f>
              <c:strCache>
                <c:ptCount val="2"/>
                <c:pt idx="0">
                  <c:v>No</c:v>
                </c:pt>
                <c:pt idx="1">
                  <c:v>Yes</c:v>
                </c:pt>
              </c:strCache>
            </c:strRef>
          </c:cat>
          <c:val>
            <c:numRef>
              <c:f>'PIVOT TABLES'!$O$82:$O$84</c:f>
              <c:numCache>
                <c:formatCode>General</c:formatCode>
                <c:ptCount val="2"/>
                <c:pt idx="0">
                  <c:v>22</c:v>
                </c:pt>
                <c:pt idx="1">
                  <c:v>2</c:v>
                </c:pt>
              </c:numCache>
            </c:numRef>
          </c:val>
          <c:extLst>
            <c:ext xmlns:c16="http://schemas.microsoft.com/office/drawing/2014/chart" uri="{C3380CC4-5D6E-409C-BE32-E72D297353CC}">
              <c16:uniqueId val="{0000000D-E59E-4AD5-BC01-D85F82DEA75F}"/>
            </c:ext>
          </c:extLst>
        </c:ser>
        <c:ser>
          <c:idx val="14"/>
          <c:order val="14"/>
          <c:tx>
            <c:strRef>
              <c:f>'PIVOT TABLES'!$P$80:$P$81</c:f>
              <c:strCache>
                <c:ptCount val="1"/>
                <c:pt idx="0">
                  <c:v>14</c:v>
                </c:pt>
              </c:strCache>
            </c:strRef>
          </c:tx>
          <c:spPr>
            <a:solidFill>
              <a:schemeClr val="accent3">
                <a:lumMod val="80000"/>
                <a:lumOff val="20000"/>
              </a:schemeClr>
            </a:solidFill>
            <a:ln>
              <a:noFill/>
            </a:ln>
            <a:effectLst/>
          </c:spPr>
          <c:invertIfNegative val="0"/>
          <c:cat>
            <c:strRef>
              <c:f>'PIVOT TABLES'!$A$82:$A$84</c:f>
              <c:strCache>
                <c:ptCount val="2"/>
                <c:pt idx="0">
                  <c:v>No</c:v>
                </c:pt>
                <c:pt idx="1">
                  <c:v>Yes</c:v>
                </c:pt>
              </c:strCache>
            </c:strRef>
          </c:cat>
          <c:val>
            <c:numRef>
              <c:f>'PIVOT TABLES'!$P$82:$P$84</c:f>
              <c:numCache>
                <c:formatCode>General</c:formatCode>
                <c:ptCount val="2"/>
                <c:pt idx="0">
                  <c:v>16</c:v>
                </c:pt>
                <c:pt idx="1">
                  <c:v>2</c:v>
                </c:pt>
              </c:numCache>
            </c:numRef>
          </c:val>
          <c:extLst>
            <c:ext xmlns:c16="http://schemas.microsoft.com/office/drawing/2014/chart" uri="{C3380CC4-5D6E-409C-BE32-E72D297353CC}">
              <c16:uniqueId val="{0000000E-E59E-4AD5-BC01-D85F82DEA75F}"/>
            </c:ext>
          </c:extLst>
        </c:ser>
        <c:ser>
          <c:idx val="15"/>
          <c:order val="15"/>
          <c:tx>
            <c:strRef>
              <c:f>'PIVOT TABLES'!$Q$80:$Q$81</c:f>
              <c:strCache>
                <c:ptCount val="1"/>
                <c:pt idx="0">
                  <c:v>15</c:v>
                </c:pt>
              </c:strCache>
            </c:strRef>
          </c:tx>
          <c:spPr>
            <a:solidFill>
              <a:schemeClr val="accent4">
                <a:lumMod val="80000"/>
                <a:lumOff val="20000"/>
              </a:schemeClr>
            </a:solidFill>
            <a:ln>
              <a:noFill/>
            </a:ln>
            <a:effectLst/>
          </c:spPr>
          <c:invertIfNegative val="0"/>
          <c:cat>
            <c:strRef>
              <c:f>'PIVOT TABLES'!$A$82:$A$84</c:f>
              <c:strCache>
                <c:ptCount val="2"/>
                <c:pt idx="0">
                  <c:v>No</c:v>
                </c:pt>
                <c:pt idx="1">
                  <c:v>Yes</c:v>
                </c:pt>
              </c:strCache>
            </c:strRef>
          </c:cat>
          <c:val>
            <c:numRef>
              <c:f>'PIVOT TABLES'!$Q$82:$Q$84</c:f>
              <c:numCache>
                <c:formatCode>General</c:formatCode>
                <c:ptCount val="2"/>
                <c:pt idx="0">
                  <c:v>19</c:v>
                </c:pt>
                <c:pt idx="1">
                  <c:v>1</c:v>
                </c:pt>
              </c:numCache>
            </c:numRef>
          </c:val>
          <c:extLst>
            <c:ext xmlns:c16="http://schemas.microsoft.com/office/drawing/2014/chart" uri="{C3380CC4-5D6E-409C-BE32-E72D297353CC}">
              <c16:uniqueId val="{0000000F-E59E-4AD5-BC01-D85F82DEA75F}"/>
            </c:ext>
          </c:extLst>
        </c:ser>
        <c:ser>
          <c:idx val="16"/>
          <c:order val="16"/>
          <c:tx>
            <c:strRef>
              <c:f>'PIVOT TABLES'!$R$80:$R$81</c:f>
              <c:strCache>
                <c:ptCount val="1"/>
                <c:pt idx="0">
                  <c:v>16</c:v>
                </c:pt>
              </c:strCache>
            </c:strRef>
          </c:tx>
          <c:spPr>
            <a:solidFill>
              <a:schemeClr val="accent5">
                <a:lumMod val="80000"/>
                <a:lumOff val="20000"/>
              </a:schemeClr>
            </a:solidFill>
            <a:ln>
              <a:noFill/>
            </a:ln>
            <a:effectLst/>
          </c:spPr>
          <c:invertIfNegative val="0"/>
          <c:cat>
            <c:strRef>
              <c:f>'PIVOT TABLES'!$A$82:$A$84</c:f>
              <c:strCache>
                <c:ptCount val="2"/>
                <c:pt idx="0">
                  <c:v>No</c:v>
                </c:pt>
                <c:pt idx="1">
                  <c:v>Yes</c:v>
                </c:pt>
              </c:strCache>
            </c:strRef>
          </c:cat>
          <c:val>
            <c:numRef>
              <c:f>'PIVOT TABLES'!$R$82:$R$84</c:f>
              <c:numCache>
                <c:formatCode>General</c:formatCode>
                <c:ptCount val="2"/>
                <c:pt idx="0">
                  <c:v>11</c:v>
                </c:pt>
                <c:pt idx="1">
                  <c:v>1</c:v>
                </c:pt>
              </c:numCache>
            </c:numRef>
          </c:val>
          <c:extLst>
            <c:ext xmlns:c16="http://schemas.microsoft.com/office/drawing/2014/chart" uri="{C3380CC4-5D6E-409C-BE32-E72D297353CC}">
              <c16:uniqueId val="{00000010-E59E-4AD5-BC01-D85F82DEA75F}"/>
            </c:ext>
          </c:extLst>
        </c:ser>
        <c:ser>
          <c:idx val="17"/>
          <c:order val="17"/>
          <c:tx>
            <c:strRef>
              <c:f>'PIVOT TABLES'!$S$80:$S$81</c:f>
              <c:strCache>
                <c:ptCount val="1"/>
                <c:pt idx="0">
                  <c:v>17</c:v>
                </c:pt>
              </c:strCache>
            </c:strRef>
          </c:tx>
          <c:spPr>
            <a:solidFill>
              <a:schemeClr val="accent6">
                <a:lumMod val="80000"/>
                <a:lumOff val="20000"/>
              </a:schemeClr>
            </a:solidFill>
            <a:ln>
              <a:noFill/>
            </a:ln>
            <a:effectLst/>
          </c:spPr>
          <c:invertIfNegative val="0"/>
          <c:cat>
            <c:strRef>
              <c:f>'PIVOT TABLES'!$A$82:$A$84</c:f>
              <c:strCache>
                <c:ptCount val="2"/>
                <c:pt idx="0">
                  <c:v>No</c:v>
                </c:pt>
                <c:pt idx="1">
                  <c:v>Yes</c:v>
                </c:pt>
              </c:strCache>
            </c:strRef>
          </c:cat>
          <c:val>
            <c:numRef>
              <c:f>'PIVOT TABLES'!$S$82:$S$84</c:f>
              <c:numCache>
                <c:formatCode>General</c:formatCode>
                <c:ptCount val="2"/>
                <c:pt idx="0">
                  <c:v>8</c:v>
                </c:pt>
                <c:pt idx="1">
                  <c:v>1</c:v>
                </c:pt>
              </c:numCache>
            </c:numRef>
          </c:val>
          <c:extLst>
            <c:ext xmlns:c16="http://schemas.microsoft.com/office/drawing/2014/chart" uri="{C3380CC4-5D6E-409C-BE32-E72D297353CC}">
              <c16:uniqueId val="{00000011-E59E-4AD5-BC01-D85F82DEA75F}"/>
            </c:ext>
          </c:extLst>
        </c:ser>
        <c:ser>
          <c:idx val="18"/>
          <c:order val="18"/>
          <c:tx>
            <c:strRef>
              <c:f>'PIVOT TABLES'!$T$80:$T$81</c:f>
              <c:strCache>
                <c:ptCount val="1"/>
                <c:pt idx="0">
                  <c:v>18</c:v>
                </c:pt>
              </c:strCache>
            </c:strRef>
          </c:tx>
          <c:spPr>
            <a:solidFill>
              <a:schemeClr val="accent1">
                <a:lumMod val="80000"/>
              </a:schemeClr>
            </a:solidFill>
            <a:ln>
              <a:noFill/>
            </a:ln>
            <a:effectLst/>
          </c:spPr>
          <c:invertIfNegative val="0"/>
          <c:cat>
            <c:strRef>
              <c:f>'PIVOT TABLES'!$A$82:$A$84</c:f>
              <c:strCache>
                <c:ptCount val="2"/>
                <c:pt idx="0">
                  <c:v>No</c:v>
                </c:pt>
                <c:pt idx="1">
                  <c:v>Yes</c:v>
                </c:pt>
              </c:strCache>
            </c:strRef>
          </c:cat>
          <c:val>
            <c:numRef>
              <c:f>'PIVOT TABLES'!$T$82:$T$84</c:f>
              <c:numCache>
                <c:formatCode>General</c:formatCode>
                <c:ptCount val="2"/>
                <c:pt idx="0">
                  <c:v>12</c:v>
                </c:pt>
                <c:pt idx="1">
                  <c:v>1</c:v>
                </c:pt>
              </c:numCache>
            </c:numRef>
          </c:val>
          <c:extLst>
            <c:ext xmlns:c16="http://schemas.microsoft.com/office/drawing/2014/chart" uri="{C3380CC4-5D6E-409C-BE32-E72D297353CC}">
              <c16:uniqueId val="{00000012-E59E-4AD5-BC01-D85F82DEA75F}"/>
            </c:ext>
          </c:extLst>
        </c:ser>
        <c:ser>
          <c:idx val="19"/>
          <c:order val="19"/>
          <c:tx>
            <c:strRef>
              <c:f>'PIVOT TABLES'!$U$80:$U$81</c:f>
              <c:strCache>
                <c:ptCount val="1"/>
                <c:pt idx="0">
                  <c:v>19</c:v>
                </c:pt>
              </c:strCache>
            </c:strRef>
          </c:tx>
          <c:spPr>
            <a:solidFill>
              <a:schemeClr val="accent2">
                <a:lumMod val="80000"/>
              </a:schemeClr>
            </a:solidFill>
            <a:ln>
              <a:noFill/>
            </a:ln>
            <a:effectLst/>
          </c:spPr>
          <c:invertIfNegative val="0"/>
          <c:cat>
            <c:strRef>
              <c:f>'PIVOT TABLES'!$A$82:$A$84</c:f>
              <c:strCache>
                <c:ptCount val="2"/>
                <c:pt idx="0">
                  <c:v>No</c:v>
                </c:pt>
                <c:pt idx="1">
                  <c:v>Yes</c:v>
                </c:pt>
              </c:strCache>
            </c:strRef>
          </c:cat>
          <c:val>
            <c:numRef>
              <c:f>'PIVOT TABLES'!$U$82:$U$84</c:f>
              <c:numCache>
                <c:formatCode>General</c:formatCode>
                <c:ptCount val="2"/>
                <c:pt idx="0">
                  <c:v>10</c:v>
                </c:pt>
                <c:pt idx="1">
                  <c:v>1</c:v>
                </c:pt>
              </c:numCache>
            </c:numRef>
          </c:val>
          <c:extLst>
            <c:ext xmlns:c16="http://schemas.microsoft.com/office/drawing/2014/chart" uri="{C3380CC4-5D6E-409C-BE32-E72D297353CC}">
              <c16:uniqueId val="{00000013-E59E-4AD5-BC01-D85F82DEA75F}"/>
            </c:ext>
          </c:extLst>
        </c:ser>
        <c:ser>
          <c:idx val="20"/>
          <c:order val="20"/>
          <c:tx>
            <c:strRef>
              <c:f>'PIVOT TABLES'!$V$80:$V$81</c:f>
              <c:strCache>
                <c:ptCount val="1"/>
                <c:pt idx="0">
                  <c:v>20</c:v>
                </c:pt>
              </c:strCache>
            </c:strRef>
          </c:tx>
          <c:spPr>
            <a:solidFill>
              <a:schemeClr val="accent3">
                <a:lumMod val="80000"/>
              </a:schemeClr>
            </a:solidFill>
            <a:ln>
              <a:noFill/>
            </a:ln>
            <a:effectLst/>
          </c:spPr>
          <c:invertIfNegative val="0"/>
          <c:cat>
            <c:strRef>
              <c:f>'PIVOT TABLES'!$A$82:$A$84</c:f>
              <c:strCache>
                <c:ptCount val="2"/>
                <c:pt idx="0">
                  <c:v>No</c:v>
                </c:pt>
                <c:pt idx="1">
                  <c:v>Yes</c:v>
                </c:pt>
              </c:strCache>
            </c:strRef>
          </c:cat>
          <c:val>
            <c:numRef>
              <c:f>'PIVOT TABLES'!$V$82:$V$84</c:f>
              <c:numCache>
                <c:formatCode>General</c:formatCode>
                <c:ptCount val="2"/>
                <c:pt idx="0">
                  <c:v>26</c:v>
                </c:pt>
                <c:pt idx="1">
                  <c:v>1</c:v>
                </c:pt>
              </c:numCache>
            </c:numRef>
          </c:val>
          <c:extLst>
            <c:ext xmlns:c16="http://schemas.microsoft.com/office/drawing/2014/chart" uri="{C3380CC4-5D6E-409C-BE32-E72D297353CC}">
              <c16:uniqueId val="{00000014-E59E-4AD5-BC01-D85F82DEA75F}"/>
            </c:ext>
          </c:extLst>
        </c:ser>
        <c:ser>
          <c:idx val="21"/>
          <c:order val="21"/>
          <c:tx>
            <c:strRef>
              <c:f>'PIVOT TABLES'!$W$80:$W$81</c:f>
              <c:strCache>
                <c:ptCount val="1"/>
                <c:pt idx="0">
                  <c:v>21</c:v>
                </c:pt>
              </c:strCache>
            </c:strRef>
          </c:tx>
          <c:spPr>
            <a:solidFill>
              <a:schemeClr val="accent4">
                <a:lumMod val="80000"/>
              </a:schemeClr>
            </a:solidFill>
            <a:ln>
              <a:noFill/>
            </a:ln>
            <a:effectLst/>
          </c:spPr>
          <c:invertIfNegative val="0"/>
          <c:cat>
            <c:strRef>
              <c:f>'PIVOT TABLES'!$A$82:$A$84</c:f>
              <c:strCache>
                <c:ptCount val="2"/>
                <c:pt idx="0">
                  <c:v>No</c:v>
                </c:pt>
                <c:pt idx="1">
                  <c:v>Yes</c:v>
                </c:pt>
              </c:strCache>
            </c:strRef>
          </c:cat>
          <c:val>
            <c:numRef>
              <c:f>'PIVOT TABLES'!$W$82:$W$84</c:f>
              <c:numCache>
                <c:formatCode>General</c:formatCode>
                <c:ptCount val="2"/>
                <c:pt idx="0">
                  <c:v>13</c:v>
                </c:pt>
                <c:pt idx="1">
                  <c:v>1</c:v>
                </c:pt>
              </c:numCache>
            </c:numRef>
          </c:val>
          <c:extLst>
            <c:ext xmlns:c16="http://schemas.microsoft.com/office/drawing/2014/chart" uri="{C3380CC4-5D6E-409C-BE32-E72D297353CC}">
              <c16:uniqueId val="{00000015-E59E-4AD5-BC01-D85F82DEA75F}"/>
            </c:ext>
          </c:extLst>
        </c:ser>
        <c:ser>
          <c:idx val="22"/>
          <c:order val="22"/>
          <c:tx>
            <c:strRef>
              <c:f>'PIVOT TABLES'!$X$80:$X$81</c:f>
              <c:strCache>
                <c:ptCount val="1"/>
                <c:pt idx="0">
                  <c:v>22</c:v>
                </c:pt>
              </c:strCache>
            </c:strRef>
          </c:tx>
          <c:spPr>
            <a:solidFill>
              <a:schemeClr val="accent5">
                <a:lumMod val="80000"/>
              </a:schemeClr>
            </a:solidFill>
            <a:ln>
              <a:noFill/>
            </a:ln>
            <a:effectLst/>
          </c:spPr>
          <c:invertIfNegative val="0"/>
          <c:cat>
            <c:strRef>
              <c:f>'PIVOT TABLES'!$A$82:$A$84</c:f>
              <c:strCache>
                <c:ptCount val="2"/>
                <c:pt idx="0">
                  <c:v>No</c:v>
                </c:pt>
                <c:pt idx="1">
                  <c:v>Yes</c:v>
                </c:pt>
              </c:strCache>
            </c:strRef>
          </c:cat>
          <c:val>
            <c:numRef>
              <c:f>'PIVOT TABLES'!$X$82:$X$84</c:f>
              <c:numCache>
                <c:formatCode>General</c:formatCode>
                <c:ptCount val="2"/>
                <c:pt idx="0">
                  <c:v>14</c:v>
                </c:pt>
                <c:pt idx="1">
                  <c:v>1</c:v>
                </c:pt>
              </c:numCache>
            </c:numRef>
          </c:val>
          <c:extLst>
            <c:ext xmlns:c16="http://schemas.microsoft.com/office/drawing/2014/chart" uri="{C3380CC4-5D6E-409C-BE32-E72D297353CC}">
              <c16:uniqueId val="{00000016-E59E-4AD5-BC01-D85F82DEA75F}"/>
            </c:ext>
          </c:extLst>
        </c:ser>
        <c:ser>
          <c:idx val="23"/>
          <c:order val="23"/>
          <c:tx>
            <c:strRef>
              <c:f>'PIVOT TABLES'!$Y$80:$Y$81</c:f>
              <c:strCache>
                <c:ptCount val="1"/>
                <c:pt idx="0">
                  <c:v>23</c:v>
                </c:pt>
              </c:strCache>
            </c:strRef>
          </c:tx>
          <c:spPr>
            <a:solidFill>
              <a:schemeClr val="accent6">
                <a:lumMod val="80000"/>
              </a:schemeClr>
            </a:solidFill>
            <a:ln>
              <a:noFill/>
            </a:ln>
            <a:effectLst/>
          </c:spPr>
          <c:invertIfNegative val="0"/>
          <c:cat>
            <c:strRef>
              <c:f>'PIVOT TABLES'!$A$82:$A$84</c:f>
              <c:strCache>
                <c:ptCount val="2"/>
                <c:pt idx="0">
                  <c:v>No</c:v>
                </c:pt>
                <c:pt idx="1">
                  <c:v>Yes</c:v>
                </c:pt>
              </c:strCache>
            </c:strRef>
          </c:cat>
          <c:val>
            <c:numRef>
              <c:f>'PIVOT TABLES'!$Y$82:$Y$84</c:f>
              <c:numCache>
                <c:formatCode>General</c:formatCode>
                <c:ptCount val="2"/>
                <c:pt idx="0">
                  <c:v>1</c:v>
                </c:pt>
                <c:pt idx="1">
                  <c:v>1</c:v>
                </c:pt>
              </c:numCache>
            </c:numRef>
          </c:val>
          <c:extLst>
            <c:ext xmlns:c16="http://schemas.microsoft.com/office/drawing/2014/chart" uri="{C3380CC4-5D6E-409C-BE32-E72D297353CC}">
              <c16:uniqueId val="{00000017-E59E-4AD5-BC01-D85F82DEA75F}"/>
            </c:ext>
          </c:extLst>
        </c:ser>
        <c:ser>
          <c:idx val="24"/>
          <c:order val="24"/>
          <c:tx>
            <c:strRef>
              <c:f>'PIVOT TABLES'!$Z$80:$Z$81</c:f>
              <c:strCache>
                <c:ptCount val="1"/>
                <c:pt idx="0">
                  <c:v>24</c:v>
                </c:pt>
              </c:strCache>
            </c:strRef>
          </c:tx>
          <c:spPr>
            <a:solidFill>
              <a:schemeClr val="accent1">
                <a:lumMod val="60000"/>
                <a:lumOff val="40000"/>
              </a:schemeClr>
            </a:solidFill>
            <a:ln>
              <a:noFill/>
            </a:ln>
            <a:effectLst/>
          </c:spPr>
          <c:invertIfNegative val="0"/>
          <c:cat>
            <c:strRef>
              <c:f>'PIVOT TABLES'!$A$82:$A$84</c:f>
              <c:strCache>
                <c:ptCount val="2"/>
                <c:pt idx="0">
                  <c:v>No</c:v>
                </c:pt>
                <c:pt idx="1">
                  <c:v>Yes</c:v>
                </c:pt>
              </c:strCache>
            </c:strRef>
          </c:cat>
          <c:val>
            <c:numRef>
              <c:f>'PIVOT TABLES'!$Z$82:$Z$84</c:f>
              <c:numCache>
                <c:formatCode>General</c:formatCode>
                <c:ptCount val="2"/>
                <c:pt idx="0">
                  <c:v>5</c:v>
                </c:pt>
                <c:pt idx="1">
                  <c:v>1</c:v>
                </c:pt>
              </c:numCache>
            </c:numRef>
          </c:val>
          <c:extLst>
            <c:ext xmlns:c16="http://schemas.microsoft.com/office/drawing/2014/chart" uri="{C3380CC4-5D6E-409C-BE32-E72D297353CC}">
              <c16:uniqueId val="{00000018-E59E-4AD5-BC01-D85F82DEA75F}"/>
            </c:ext>
          </c:extLst>
        </c:ser>
        <c:ser>
          <c:idx val="25"/>
          <c:order val="25"/>
          <c:tx>
            <c:strRef>
              <c:f>'PIVOT TABLES'!$AA$80:$AA$81</c:f>
              <c:strCache>
                <c:ptCount val="1"/>
                <c:pt idx="0">
                  <c:v>25</c:v>
                </c:pt>
              </c:strCache>
            </c:strRef>
          </c:tx>
          <c:spPr>
            <a:solidFill>
              <a:schemeClr val="accent2">
                <a:lumMod val="60000"/>
                <a:lumOff val="40000"/>
              </a:schemeClr>
            </a:solidFill>
            <a:ln>
              <a:noFill/>
            </a:ln>
            <a:effectLst/>
          </c:spPr>
          <c:invertIfNegative val="0"/>
          <c:cat>
            <c:strRef>
              <c:f>'PIVOT TABLES'!$A$82:$A$84</c:f>
              <c:strCache>
                <c:ptCount val="2"/>
                <c:pt idx="0">
                  <c:v>No</c:v>
                </c:pt>
                <c:pt idx="1">
                  <c:v>Yes</c:v>
                </c:pt>
              </c:strCache>
            </c:strRef>
          </c:cat>
          <c:val>
            <c:numRef>
              <c:f>'PIVOT TABLES'!$AA$82:$AA$84</c:f>
              <c:numCache>
                <c:formatCode>General</c:formatCode>
                <c:ptCount val="2"/>
                <c:pt idx="0">
                  <c:v>4</c:v>
                </c:pt>
              </c:numCache>
            </c:numRef>
          </c:val>
          <c:extLst>
            <c:ext xmlns:c16="http://schemas.microsoft.com/office/drawing/2014/chart" uri="{C3380CC4-5D6E-409C-BE32-E72D297353CC}">
              <c16:uniqueId val="{00000019-E59E-4AD5-BC01-D85F82DEA75F}"/>
            </c:ext>
          </c:extLst>
        </c:ser>
        <c:ser>
          <c:idx val="26"/>
          <c:order val="26"/>
          <c:tx>
            <c:strRef>
              <c:f>'PIVOT TABLES'!$AB$80:$AB$81</c:f>
              <c:strCache>
                <c:ptCount val="1"/>
                <c:pt idx="0">
                  <c:v>26</c:v>
                </c:pt>
              </c:strCache>
            </c:strRef>
          </c:tx>
          <c:spPr>
            <a:solidFill>
              <a:schemeClr val="accent3">
                <a:lumMod val="60000"/>
                <a:lumOff val="40000"/>
              </a:schemeClr>
            </a:solidFill>
            <a:ln>
              <a:noFill/>
            </a:ln>
            <a:effectLst/>
          </c:spPr>
          <c:invertIfNegative val="0"/>
          <c:cat>
            <c:strRef>
              <c:f>'PIVOT TABLES'!$A$82:$A$84</c:f>
              <c:strCache>
                <c:ptCount val="2"/>
                <c:pt idx="0">
                  <c:v>No</c:v>
                </c:pt>
                <c:pt idx="1">
                  <c:v>Yes</c:v>
                </c:pt>
              </c:strCache>
            </c:strRef>
          </c:cat>
          <c:val>
            <c:numRef>
              <c:f>'PIVOT TABLES'!$AB$82:$AB$84</c:f>
              <c:numCache>
                <c:formatCode>General</c:formatCode>
                <c:ptCount val="2"/>
                <c:pt idx="0">
                  <c:v>4</c:v>
                </c:pt>
              </c:numCache>
            </c:numRef>
          </c:val>
          <c:extLst>
            <c:ext xmlns:c16="http://schemas.microsoft.com/office/drawing/2014/chart" uri="{C3380CC4-5D6E-409C-BE32-E72D297353CC}">
              <c16:uniqueId val="{0000001A-E59E-4AD5-BC01-D85F82DEA75F}"/>
            </c:ext>
          </c:extLst>
        </c:ser>
        <c:ser>
          <c:idx val="27"/>
          <c:order val="27"/>
          <c:tx>
            <c:strRef>
              <c:f>'PIVOT TABLES'!$AC$80:$AC$81</c:f>
              <c:strCache>
                <c:ptCount val="1"/>
                <c:pt idx="0">
                  <c:v>27</c:v>
                </c:pt>
              </c:strCache>
            </c:strRef>
          </c:tx>
          <c:spPr>
            <a:solidFill>
              <a:schemeClr val="accent4">
                <a:lumMod val="60000"/>
                <a:lumOff val="40000"/>
              </a:schemeClr>
            </a:solidFill>
            <a:ln>
              <a:noFill/>
            </a:ln>
            <a:effectLst/>
          </c:spPr>
          <c:invertIfNegative val="0"/>
          <c:cat>
            <c:strRef>
              <c:f>'PIVOT TABLES'!$A$82:$A$84</c:f>
              <c:strCache>
                <c:ptCount val="2"/>
                <c:pt idx="0">
                  <c:v>No</c:v>
                </c:pt>
                <c:pt idx="1">
                  <c:v>Yes</c:v>
                </c:pt>
              </c:strCache>
            </c:strRef>
          </c:cat>
          <c:val>
            <c:numRef>
              <c:f>'PIVOT TABLES'!$AC$82:$AC$84</c:f>
              <c:numCache>
                <c:formatCode>General</c:formatCode>
                <c:ptCount val="2"/>
                <c:pt idx="0">
                  <c:v>2</c:v>
                </c:pt>
              </c:numCache>
            </c:numRef>
          </c:val>
          <c:extLst>
            <c:ext xmlns:c16="http://schemas.microsoft.com/office/drawing/2014/chart" uri="{C3380CC4-5D6E-409C-BE32-E72D297353CC}">
              <c16:uniqueId val="{0000001B-E59E-4AD5-BC01-D85F82DEA75F}"/>
            </c:ext>
          </c:extLst>
        </c:ser>
        <c:ser>
          <c:idx val="28"/>
          <c:order val="28"/>
          <c:tx>
            <c:strRef>
              <c:f>'PIVOT TABLES'!$AD$80:$AD$81</c:f>
              <c:strCache>
                <c:ptCount val="1"/>
                <c:pt idx="0">
                  <c:v>29</c:v>
                </c:pt>
              </c:strCache>
            </c:strRef>
          </c:tx>
          <c:spPr>
            <a:solidFill>
              <a:schemeClr val="accent5">
                <a:lumMod val="60000"/>
                <a:lumOff val="40000"/>
              </a:schemeClr>
            </a:solidFill>
            <a:ln>
              <a:noFill/>
            </a:ln>
            <a:effectLst/>
          </c:spPr>
          <c:invertIfNegative val="0"/>
          <c:cat>
            <c:strRef>
              <c:f>'PIVOT TABLES'!$A$82:$A$84</c:f>
              <c:strCache>
                <c:ptCount val="2"/>
                <c:pt idx="0">
                  <c:v>No</c:v>
                </c:pt>
                <c:pt idx="1">
                  <c:v>Yes</c:v>
                </c:pt>
              </c:strCache>
            </c:strRef>
          </c:cat>
          <c:val>
            <c:numRef>
              <c:f>'PIVOT TABLES'!$AD$82:$AD$84</c:f>
              <c:numCache>
                <c:formatCode>General</c:formatCode>
                <c:ptCount val="2"/>
                <c:pt idx="0">
                  <c:v>2</c:v>
                </c:pt>
              </c:numCache>
            </c:numRef>
          </c:val>
          <c:extLst>
            <c:ext xmlns:c16="http://schemas.microsoft.com/office/drawing/2014/chart" uri="{C3380CC4-5D6E-409C-BE32-E72D297353CC}">
              <c16:uniqueId val="{0000001C-E59E-4AD5-BC01-D85F82DEA75F}"/>
            </c:ext>
          </c:extLst>
        </c:ser>
        <c:ser>
          <c:idx val="29"/>
          <c:order val="29"/>
          <c:tx>
            <c:strRef>
              <c:f>'PIVOT TABLES'!$AE$80:$AE$81</c:f>
              <c:strCache>
                <c:ptCount val="1"/>
                <c:pt idx="0">
                  <c:v>30</c:v>
                </c:pt>
              </c:strCache>
            </c:strRef>
          </c:tx>
          <c:spPr>
            <a:solidFill>
              <a:schemeClr val="accent6">
                <a:lumMod val="60000"/>
                <a:lumOff val="40000"/>
              </a:schemeClr>
            </a:solidFill>
            <a:ln>
              <a:noFill/>
            </a:ln>
            <a:effectLst/>
          </c:spPr>
          <c:invertIfNegative val="0"/>
          <c:cat>
            <c:strRef>
              <c:f>'PIVOT TABLES'!$A$82:$A$84</c:f>
              <c:strCache>
                <c:ptCount val="2"/>
                <c:pt idx="0">
                  <c:v>No</c:v>
                </c:pt>
                <c:pt idx="1">
                  <c:v>Yes</c:v>
                </c:pt>
              </c:strCache>
            </c:strRef>
          </c:cat>
          <c:val>
            <c:numRef>
              <c:f>'PIVOT TABLES'!$AE$82:$AE$84</c:f>
              <c:numCache>
                <c:formatCode>General</c:formatCode>
                <c:ptCount val="2"/>
                <c:pt idx="0">
                  <c:v>1</c:v>
                </c:pt>
              </c:numCache>
            </c:numRef>
          </c:val>
          <c:extLst>
            <c:ext xmlns:c16="http://schemas.microsoft.com/office/drawing/2014/chart" uri="{C3380CC4-5D6E-409C-BE32-E72D297353CC}">
              <c16:uniqueId val="{0000001D-E59E-4AD5-BC01-D85F82DEA75F}"/>
            </c:ext>
          </c:extLst>
        </c:ser>
        <c:ser>
          <c:idx val="30"/>
          <c:order val="30"/>
          <c:tx>
            <c:strRef>
              <c:f>'PIVOT TABLES'!$AF$80:$AF$81</c:f>
              <c:strCache>
                <c:ptCount val="1"/>
                <c:pt idx="0">
                  <c:v>31</c:v>
                </c:pt>
              </c:strCache>
            </c:strRef>
          </c:tx>
          <c:spPr>
            <a:solidFill>
              <a:schemeClr val="accent1">
                <a:lumMod val="50000"/>
              </a:schemeClr>
            </a:solidFill>
            <a:ln>
              <a:noFill/>
            </a:ln>
            <a:effectLst/>
          </c:spPr>
          <c:invertIfNegative val="0"/>
          <c:cat>
            <c:strRef>
              <c:f>'PIVOT TABLES'!$A$82:$A$84</c:f>
              <c:strCache>
                <c:ptCount val="2"/>
                <c:pt idx="0">
                  <c:v>No</c:v>
                </c:pt>
                <c:pt idx="1">
                  <c:v>Yes</c:v>
                </c:pt>
              </c:strCache>
            </c:strRef>
          </c:cat>
          <c:val>
            <c:numRef>
              <c:f>'PIVOT TABLES'!$AF$82:$AF$84</c:f>
              <c:numCache>
                <c:formatCode>General</c:formatCode>
                <c:ptCount val="2"/>
                <c:pt idx="0">
                  <c:v>2</c:v>
                </c:pt>
                <c:pt idx="1">
                  <c:v>1</c:v>
                </c:pt>
              </c:numCache>
            </c:numRef>
          </c:val>
          <c:extLst>
            <c:ext xmlns:c16="http://schemas.microsoft.com/office/drawing/2014/chart" uri="{C3380CC4-5D6E-409C-BE32-E72D297353CC}">
              <c16:uniqueId val="{0000001E-E59E-4AD5-BC01-D85F82DEA75F}"/>
            </c:ext>
          </c:extLst>
        </c:ser>
        <c:ser>
          <c:idx val="31"/>
          <c:order val="31"/>
          <c:tx>
            <c:strRef>
              <c:f>'PIVOT TABLES'!$AG$80:$AG$81</c:f>
              <c:strCache>
                <c:ptCount val="1"/>
                <c:pt idx="0">
                  <c:v>32</c:v>
                </c:pt>
              </c:strCache>
            </c:strRef>
          </c:tx>
          <c:spPr>
            <a:solidFill>
              <a:schemeClr val="accent2">
                <a:lumMod val="50000"/>
              </a:schemeClr>
            </a:solidFill>
            <a:ln>
              <a:noFill/>
            </a:ln>
            <a:effectLst/>
          </c:spPr>
          <c:invertIfNegative val="0"/>
          <c:cat>
            <c:strRef>
              <c:f>'PIVOT TABLES'!$A$82:$A$84</c:f>
              <c:strCache>
                <c:ptCount val="2"/>
                <c:pt idx="0">
                  <c:v>No</c:v>
                </c:pt>
                <c:pt idx="1">
                  <c:v>Yes</c:v>
                </c:pt>
              </c:strCache>
            </c:strRef>
          </c:cat>
          <c:val>
            <c:numRef>
              <c:f>'PIVOT TABLES'!$AG$82:$AG$84</c:f>
              <c:numCache>
                <c:formatCode>General</c:formatCode>
                <c:ptCount val="2"/>
                <c:pt idx="0">
                  <c:v>2</c:v>
                </c:pt>
                <c:pt idx="1">
                  <c:v>1</c:v>
                </c:pt>
              </c:numCache>
            </c:numRef>
          </c:val>
          <c:extLst>
            <c:ext xmlns:c16="http://schemas.microsoft.com/office/drawing/2014/chart" uri="{C3380CC4-5D6E-409C-BE32-E72D297353CC}">
              <c16:uniqueId val="{0000001F-E59E-4AD5-BC01-D85F82DEA75F}"/>
            </c:ext>
          </c:extLst>
        </c:ser>
        <c:ser>
          <c:idx val="32"/>
          <c:order val="32"/>
          <c:tx>
            <c:strRef>
              <c:f>'PIVOT TABLES'!$AH$80:$AH$81</c:f>
              <c:strCache>
                <c:ptCount val="1"/>
                <c:pt idx="0">
                  <c:v>33</c:v>
                </c:pt>
              </c:strCache>
            </c:strRef>
          </c:tx>
          <c:spPr>
            <a:solidFill>
              <a:schemeClr val="accent3">
                <a:lumMod val="50000"/>
              </a:schemeClr>
            </a:solidFill>
            <a:ln>
              <a:noFill/>
            </a:ln>
            <a:effectLst/>
          </c:spPr>
          <c:invertIfNegative val="0"/>
          <c:cat>
            <c:strRef>
              <c:f>'PIVOT TABLES'!$A$82:$A$84</c:f>
              <c:strCache>
                <c:ptCount val="2"/>
                <c:pt idx="0">
                  <c:v>No</c:v>
                </c:pt>
                <c:pt idx="1">
                  <c:v>Yes</c:v>
                </c:pt>
              </c:strCache>
            </c:strRef>
          </c:cat>
          <c:val>
            <c:numRef>
              <c:f>'PIVOT TABLES'!$AH$82:$AH$84</c:f>
              <c:numCache>
                <c:formatCode>General</c:formatCode>
                <c:ptCount val="2"/>
                <c:pt idx="0">
                  <c:v>4</c:v>
                </c:pt>
                <c:pt idx="1">
                  <c:v>1</c:v>
                </c:pt>
              </c:numCache>
            </c:numRef>
          </c:val>
          <c:extLst>
            <c:ext xmlns:c16="http://schemas.microsoft.com/office/drawing/2014/chart" uri="{C3380CC4-5D6E-409C-BE32-E72D297353CC}">
              <c16:uniqueId val="{00000020-E59E-4AD5-BC01-D85F82DEA75F}"/>
            </c:ext>
          </c:extLst>
        </c:ser>
        <c:ser>
          <c:idx val="33"/>
          <c:order val="33"/>
          <c:tx>
            <c:strRef>
              <c:f>'PIVOT TABLES'!$AI$80:$AI$81</c:f>
              <c:strCache>
                <c:ptCount val="1"/>
                <c:pt idx="0">
                  <c:v>34</c:v>
                </c:pt>
              </c:strCache>
            </c:strRef>
          </c:tx>
          <c:spPr>
            <a:solidFill>
              <a:schemeClr val="accent4">
                <a:lumMod val="50000"/>
              </a:schemeClr>
            </a:solidFill>
            <a:ln>
              <a:noFill/>
            </a:ln>
            <a:effectLst/>
          </c:spPr>
          <c:invertIfNegative val="0"/>
          <c:cat>
            <c:strRef>
              <c:f>'PIVOT TABLES'!$A$82:$A$84</c:f>
              <c:strCache>
                <c:ptCount val="2"/>
                <c:pt idx="0">
                  <c:v>No</c:v>
                </c:pt>
                <c:pt idx="1">
                  <c:v>Yes</c:v>
                </c:pt>
              </c:strCache>
            </c:strRef>
          </c:cat>
          <c:val>
            <c:numRef>
              <c:f>'PIVOT TABLES'!$AI$82:$AI$84</c:f>
              <c:numCache>
                <c:formatCode>General</c:formatCode>
                <c:ptCount val="2"/>
                <c:pt idx="0">
                  <c:v>1</c:v>
                </c:pt>
              </c:numCache>
            </c:numRef>
          </c:val>
          <c:extLst>
            <c:ext xmlns:c16="http://schemas.microsoft.com/office/drawing/2014/chart" uri="{C3380CC4-5D6E-409C-BE32-E72D297353CC}">
              <c16:uniqueId val="{00000021-E59E-4AD5-BC01-D85F82DEA75F}"/>
            </c:ext>
          </c:extLst>
        </c:ser>
        <c:ser>
          <c:idx val="34"/>
          <c:order val="34"/>
          <c:tx>
            <c:strRef>
              <c:f>'PIVOT TABLES'!$AJ$80:$AJ$81</c:f>
              <c:strCache>
                <c:ptCount val="1"/>
                <c:pt idx="0">
                  <c:v>36</c:v>
                </c:pt>
              </c:strCache>
            </c:strRef>
          </c:tx>
          <c:spPr>
            <a:solidFill>
              <a:schemeClr val="accent5">
                <a:lumMod val="50000"/>
              </a:schemeClr>
            </a:solidFill>
            <a:ln>
              <a:noFill/>
            </a:ln>
            <a:effectLst/>
          </c:spPr>
          <c:invertIfNegative val="0"/>
          <c:cat>
            <c:strRef>
              <c:f>'PIVOT TABLES'!$A$82:$A$84</c:f>
              <c:strCache>
                <c:ptCount val="2"/>
                <c:pt idx="0">
                  <c:v>No</c:v>
                </c:pt>
                <c:pt idx="1">
                  <c:v>Yes</c:v>
                </c:pt>
              </c:strCache>
            </c:strRef>
          </c:cat>
          <c:val>
            <c:numRef>
              <c:f>'PIVOT TABLES'!$AJ$82:$AJ$84</c:f>
              <c:numCache>
                <c:formatCode>General</c:formatCode>
                <c:ptCount val="2"/>
                <c:pt idx="0">
                  <c:v>2</c:v>
                </c:pt>
              </c:numCache>
            </c:numRef>
          </c:val>
          <c:extLst>
            <c:ext xmlns:c16="http://schemas.microsoft.com/office/drawing/2014/chart" uri="{C3380CC4-5D6E-409C-BE32-E72D297353CC}">
              <c16:uniqueId val="{00000022-E59E-4AD5-BC01-D85F82DEA75F}"/>
            </c:ext>
          </c:extLst>
        </c:ser>
        <c:ser>
          <c:idx val="35"/>
          <c:order val="35"/>
          <c:tx>
            <c:strRef>
              <c:f>'PIVOT TABLES'!$AK$80:$AK$81</c:f>
              <c:strCache>
                <c:ptCount val="1"/>
                <c:pt idx="0">
                  <c:v>37</c:v>
                </c:pt>
              </c:strCache>
            </c:strRef>
          </c:tx>
          <c:spPr>
            <a:solidFill>
              <a:schemeClr val="accent6">
                <a:lumMod val="50000"/>
              </a:schemeClr>
            </a:solidFill>
            <a:ln>
              <a:noFill/>
            </a:ln>
            <a:effectLst/>
          </c:spPr>
          <c:invertIfNegative val="0"/>
          <c:cat>
            <c:strRef>
              <c:f>'PIVOT TABLES'!$A$82:$A$84</c:f>
              <c:strCache>
                <c:ptCount val="2"/>
                <c:pt idx="0">
                  <c:v>No</c:v>
                </c:pt>
                <c:pt idx="1">
                  <c:v>Yes</c:v>
                </c:pt>
              </c:strCache>
            </c:strRef>
          </c:cat>
          <c:val>
            <c:numRef>
              <c:f>'PIVOT TABLES'!$AK$82:$AK$84</c:f>
              <c:numCache>
                <c:formatCode>General</c:formatCode>
                <c:ptCount val="2"/>
                <c:pt idx="0">
                  <c:v>1</c:v>
                </c:pt>
              </c:numCache>
            </c:numRef>
          </c:val>
          <c:extLst>
            <c:ext xmlns:c16="http://schemas.microsoft.com/office/drawing/2014/chart" uri="{C3380CC4-5D6E-409C-BE32-E72D297353CC}">
              <c16:uniqueId val="{00000028-E59E-4AD5-BC01-D85F82DEA75F}"/>
            </c:ext>
          </c:extLst>
        </c:ser>
        <c:ser>
          <c:idx val="36"/>
          <c:order val="36"/>
          <c:tx>
            <c:strRef>
              <c:f>'PIVOT TABLES'!$AL$80:$AL$81</c:f>
              <c:strCache>
                <c:ptCount val="1"/>
                <c:pt idx="0">
                  <c:v>40</c:v>
                </c:pt>
              </c:strCache>
            </c:strRef>
          </c:tx>
          <c:spPr>
            <a:solidFill>
              <a:schemeClr val="accent1">
                <a:lumMod val="70000"/>
                <a:lumOff val="30000"/>
              </a:schemeClr>
            </a:solidFill>
            <a:ln>
              <a:noFill/>
            </a:ln>
            <a:effectLst/>
          </c:spPr>
          <c:invertIfNegative val="0"/>
          <c:cat>
            <c:strRef>
              <c:f>'PIVOT TABLES'!$A$82:$A$84</c:f>
              <c:strCache>
                <c:ptCount val="2"/>
                <c:pt idx="0">
                  <c:v>No</c:v>
                </c:pt>
                <c:pt idx="1">
                  <c:v>Yes</c:v>
                </c:pt>
              </c:strCache>
            </c:strRef>
          </c:cat>
          <c:val>
            <c:numRef>
              <c:f>'PIVOT TABLES'!$AL$82:$AL$84</c:f>
              <c:numCache>
                <c:formatCode>General</c:formatCode>
                <c:ptCount val="2"/>
                <c:pt idx="1">
                  <c:v>1</c:v>
                </c:pt>
              </c:numCache>
            </c:numRef>
          </c:val>
          <c:extLst>
            <c:ext xmlns:c16="http://schemas.microsoft.com/office/drawing/2014/chart" uri="{C3380CC4-5D6E-409C-BE32-E72D297353CC}">
              <c16:uniqueId val="{00000029-E59E-4AD5-BC01-D85F82DEA75F}"/>
            </c:ext>
          </c:extLst>
        </c:ser>
        <c:dLbls>
          <c:showLegendKey val="0"/>
          <c:showVal val="0"/>
          <c:showCatName val="0"/>
          <c:showSerName val="0"/>
          <c:showPercent val="0"/>
          <c:showBubbleSize val="0"/>
        </c:dLbls>
        <c:gapWidth val="219"/>
        <c:overlap val="-27"/>
        <c:axId val="43701152"/>
        <c:axId val="1925385615"/>
      </c:barChart>
      <c:catAx>
        <c:axId val="4370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385615"/>
        <c:crosses val="autoZero"/>
        <c:auto val="1"/>
        <c:lblAlgn val="ctr"/>
        <c:lblOffset val="100"/>
        <c:noMultiLvlLbl val="0"/>
      </c:catAx>
      <c:valAx>
        <c:axId val="192538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882650</xdr:colOff>
      <xdr:row>5</xdr:row>
      <xdr:rowOff>114300</xdr:rowOff>
    </xdr:from>
    <xdr:to>
      <xdr:col>9</xdr:col>
      <xdr:colOff>101600</xdr:colOff>
      <xdr:row>19</xdr:row>
      <xdr:rowOff>60325</xdr:rowOff>
    </xdr:to>
    <mc:AlternateContent xmlns:mc="http://schemas.openxmlformats.org/markup-compatibility/2006">
      <mc:Choice xmlns:a14="http://schemas.microsoft.com/office/drawing/2010/main" Requires="a14">
        <xdr:graphicFrame macro="">
          <xdr:nvGraphicFramePr>
            <xdr:cNvPr id="11" name="BusinessTravel">
              <a:extLst>
                <a:ext uri="{FF2B5EF4-FFF2-40B4-BE49-F238E27FC236}">
                  <a16:creationId xmlns:a16="http://schemas.microsoft.com/office/drawing/2014/main" id="{44F79335-8F7C-BCB4-98FA-1FAAE659B5FF}"/>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2381250" y="1035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158750</xdr:colOff>
      <xdr:row>6</xdr:row>
      <xdr:rowOff>19050</xdr:rowOff>
    </xdr:from>
    <xdr:to>
      <xdr:col>22</xdr:col>
      <xdr:colOff>19050</xdr:colOff>
      <xdr:row>19</xdr:row>
      <xdr:rowOff>149225</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86834039-E53A-D78B-4631-3F6BF95B28D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927600" y="112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177800</xdr:colOff>
      <xdr:row>5</xdr:row>
      <xdr:rowOff>146050</xdr:rowOff>
    </xdr:from>
    <xdr:to>
      <xdr:col>32</xdr:col>
      <xdr:colOff>38100</xdr:colOff>
      <xdr:row>19</xdr:row>
      <xdr:rowOff>92075</xdr:rowOff>
    </xdr:to>
    <mc:AlternateContent xmlns:mc="http://schemas.openxmlformats.org/markup-compatibility/2006">
      <mc:Choice xmlns:a14="http://schemas.microsoft.com/office/drawing/2010/main" Requires="a14">
        <xdr:graphicFrame macro="">
          <xdr:nvGraphicFramePr>
            <xdr:cNvPr id="13" name="EducationField">
              <a:extLst>
                <a:ext uri="{FF2B5EF4-FFF2-40B4-BE49-F238E27FC236}">
                  <a16:creationId xmlns:a16="http://schemas.microsoft.com/office/drawing/2014/main" id="{7041D6B8-1486-BD50-30CD-CB953B32FDA6}"/>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6915150"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12700</xdr:colOff>
      <xdr:row>8</xdr:row>
      <xdr:rowOff>38100</xdr:rowOff>
    </xdr:from>
    <xdr:to>
      <xdr:col>39</xdr:col>
      <xdr:colOff>107950</xdr:colOff>
      <xdr:row>21</xdr:row>
      <xdr:rowOff>168275</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EF7E12AA-9248-3A05-526D-EC6DB0B0E9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915400" y="1511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209550</xdr:colOff>
      <xdr:row>7</xdr:row>
      <xdr:rowOff>63500</xdr:rowOff>
    </xdr:from>
    <xdr:to>
      <xdr:col>14</xdr:col>
      <xdr:colOff>57150</xdr:colOff>
      <xdr:row>21</xdr:row>
      <xdr:rowOff>9525</xdr:rowOff>
    </xdr:to>
    <mc:AlternateContent xmlns:mc="http://schemas.openxmlformats.org/markup-compatibility/2006">
      <mc:Choice xmlns:a14="http://schemas.microsoft.com/office/drawing/2010/main" Requires="a14">
        <xdr:graphicFrame macro="">
          <xdr:nvGraphicFramePr>
            <xdr:cNvPr id="15" name="JobRole">
              <a:extLst>
                <a:ext uri="{FF2B5EF4-FFF2-40B4-BE49-F238E27FC236}">
                  <a16:creationId xmlns:a16="http://schemas.microsoft.com/office/drawing/2014/main" id="{31121503-9164-17A2-4A94-E278035E538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390900"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165100</xdr:colOff>
      <xdr:row>18</xdr:row>
      <xdr:rowOff>101600</xdr:rowOff>
    </xdr:from>
    <xdr:to>
      <xdr:col>14</xdr:col>
      <xdr:colOff>12700</xdr:colOff>
      <xdr:row>32</xdr:row>
      <xdr:rowOff>47625</xdr:rowOff>
    </xdr:to>
    <mc:AlternateContent xmlns:mc="http://schemas.openxmlformats.org/markup-compatibility/2006">
      <mc:Choice xmlns:a14="http://schemas.microsoft.com/office/drawing/2010/main" Requires="a14">
        <xdr:graphicFrame macro="">
          <xdr:nvGraphicFramePr>
            <xdr:cNvPr id="16" name="MaritalStatus">
              <a:extLst>
                <a:ext uri="{FF2B5EF4-FFF2-40B4-BE49-F238E27FC236}">
                  <a16:creationId xmlns:a16="http://schemas.microsoft.com/office/drawing/2014/main" id="{FBD2C06B-F9D3-B4D0-A555-9A665F51B04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3346450" y="3416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88900</xdr:colOff>
      <xdr:row>16</xdr:row>
      <xdr:rowOff>38100</xdr:rowOff>
    </xdr:from>
    <xdr:to>
      <xdr:col>29</xdr:col>
      <xdr:colOff>146050</xdr:colOff>
      <xdr:row>29</xdr:row>
      <xdr:rowOff>168275</xdr:rowOff>
    </xdr:to>
    <mc:AlternateContent xmlns:mc="http://schemas.openxmlformats.org/markup-compatibility/2006">
      <mc:Choice xmlns:a14="http://schemas.microsoft.com/office/drawing/2010/main" Requires="a14">
        <xdr:graphicFrame macro="">
          <xdr:nvGraphicFramePr>
            <xdr:cNvPr id="17" name="OverTime">
              <a:extLst>
                <a:ext uri="{FF2B5EF4-FFF2-40B4-BE49-F238E27FC236}">
                  <a16:creationId xmlns:a16="http://schemas.microsoft.com/office/drawing/2014/main" id="{1B561B9D-9319-2F2F-7879-DB84C695881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6432550" y="298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5</xdr:row>
      <xdr:rowOff>152400</xdr:rowOff>
    </xdr:from>
    <xdr:to>
      <xdr:col>23</xdr:col>
      <xdr:colOff>95250</xdr:colOff>
      <xdr:row>19</xdr:row>
      <xdr:rowOff>98425</xdr:rowOff>
    </xdr:to>
    <mc:AlternateContent xmlns:mc="http://schemas.openxmlformats.org/markup-compatibility/2006">
      <mc:Choice xmlns:a14="http://schemas.microsoft.com/office/drawing/2010/main" Requires="a14">
        <xdr:graphicFrame macro="">
          <xdr:nvGraphicFramePr>
            <xdr:cNvPr id="18" name="YearsAtCompany">
              <a:extLst>
                <a:ext uri="{FF2B5EF4-FFF2-40B4-BE49-F238E27FC236}">
                  <a16:creationId xmlns:a16="http://schemas.microsoft.com/office/drawing/2014/main" id="{0746D18B-CF41-72A8-5A30-D00A641CF1B9}"/>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dr:sp macro="" textlink="">
          <xdr:nvSpPr>
            <xdr:cNvPr id="0" name=""/>
            <xdr:cNvSpPr>
              <a:spLocks noTextEdit="1"/>
            </xdr:cNvSpPr>
          </xdr:nvSpPr>
          <xdr:spPr>
            <a:xfrm>
              <a:off x="5200650" y="1073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xdr:colOff>
      <xdr:row>12</xdr:row>
      <xdr:rowOff>261938</xdr:rowOff>
    </xdr:from>
    <xdr:to>
      <xdr:col>6</xdr:col>
      <xdr:colOff>234438</xdr:colOff>
      <xdr:row>19</xdr:row>
      <xdr:rowOff>272050</xdr:rowOff>
    </xdr:to>
    <xdr:graphicFrame macro="">
      <xdr:nvGraphicFramePr>
        <xdr:cNvPr id="2" name="Chart 1">
          <a:extLst>
            <a:ext uri="{FF2B5EF4-FFF2-40B4-BE49-F238E27FC236}">
              <a16:creationId xmlns:a16="http://schemas.microsoft.com/office/drawing/2014/main" id="{2AA490C9-3E7F-4DEA-80DB-983BE3BE7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323753</xdr:colOff>
      <xdr:row>13</xdr:row>
      <xdr:rowOff>147203</xdr:rowOff>
    </xdr:from>
    <xdr:to>
      <xdr:col>11</xdr:col>
      <xdr:colOff>872496</xdr:colOff>
      <xdr:row>20</xdr:row>
      <xdr:rowOff>146516</xdr:rowOff>
    </xdr:to>
    <xdr:graphicFrame macro="">
      <xdr:nvGraphicFramePr>
        <xdr:cNvPr id="3" name="Chart 2">
          <a:extLst>
            <a:ext uri="{FF2B5EF4-FFF2-40B4-BE49-F238E27FC236}">
              <a16:creationId xmlns:a16="http://schemas.microsoft.com/office/drawing/2014/main" id="{63396F9A-065B-4BEB-9112-0D3C765AD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190500</xdr:colOff>
      <xdr:row>20</xdr:row>
      <xdr:rowOff>246063</xdr:rowOff>
    </xdr:from>
    <xdr:to>
      <xdr:col>6</xdr:col>
      <xdr:colOff>393188</xdr:colOff>
      <xdr:row>27</xdr:row>
      <xdr:rowOff>256175</xdr:rowOff>
    </xdr:to>
    <xdr:graphicFrame macro="">
      <xdr:nvGraphicFramePr>
        <xdr:cNvPr id="4" name="Chart 3">
          <a:extLst>
            <a:ext uri="{FF2B5EF4-FFF2-40B4-BE49-F238E27FC236}">
              <a16:creationId xmlns:a16="http://schemas.microsoft.com/office/drawing/2014/main" id="{D1265486-9C39-48E5-85E5-B3E6002A9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555626</xdr:colOff>
      <xdr:row>21</xdr:row>
      <xdr:rowOff>47625</xdr:rowOff>
    </xdr:from>
    <xdr:to>
      <xdr:col>11</xdr:col>
      <xdr:colOff>758313</xdr:colOff>
      <xdr:row>28</xdr:row>
      <xdr:rowOff>57738</xdr:rowOff>
    </xdr:to>
    <xdr:graphicFrame macro="">
      <xdr:nvGraphicFramePr>
        <xdr:cNvPr id="5" name="Chart 4">
          <a:extLst>
            <a:ext uri="{FF2B5EF4-FFF2-40B4-BE49-F238E27FC236}">
              <a16:creationId xmlns:a16="http://schemas.microsoft.com/office/drawing/2014/main" id="{7A63DD10-52F5-43FF-A603-70D6A0751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174625</xdr:colOff>
      <xdr:row>29</xdr:row>
      <xdr:rowOff>15875</xdr:rowOff>
    </xdr:from>
    <xdr:to>
      <xdr:col>6</xdr:col>
      <xdr:colOff>377313</xdr:colOff>
      <xdr:row>36</xdr:row>
      <xdr:rowOff>22388</xdr:rowOff>
    </xdr:to>
    <xdr:graphicFrame macro="">
      <xdr:nvGraphicFramePr>
        <xdr:cNvPr id="6" name="Chart 5">
          <a:extLst>
            <a:ext uri="{FF2B5EF4-FFF2-40B4-BE49-F238E27FC236}">
              <a16:creationId xmlns:a16="http://schemas.microsoft.com/office/drawing/2014/main" id="{639C89A5-F58C-46D9-810B-C7924E0D9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769937</xdr:colOff>
      <xdr:row>28</xdr:row>
      <xdr:rowOff>214313</xdr:rowOff>
    </xdr:from>
    <xdr:to>
      <xdr:col>12</xdr:col>
      <xdr:colOff>91562</xdr:colOff>
      <xdr:row>35</xdr:row>
      <xdr:rowOff>224425</xdr:rowOff>
    </xdr:to>
    <xdr:graphicFrame macro="">
      <xdr:nvGraphicFramePr>
        <xdr:cNvPr id="7" name="Chart 6">
          <a:extLst>
            <a:ext uri="{FF2B5EF4-FFF2-40B4-BE49-F238E27FC236}">
              <a16:creationId xmlns:a16="http://schemas.microsoft.com/office/drawing/2014/main" id="{D76A2D0F-DB51-4BEC-8170-3E48A709F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547687</xdr:colOff>
      <xdr:row>36</xdr:row>
      <xdr:rowOff>238126</xdr:rowOff>
    </xdr:from>
    <xdr:to>
      <xdr:col>6</xdr:col>
      <xdr:colOff>750375</xdr:colOff>
      <xdr:row>45</xdr:row>
      <xdr:rowOff>168863</xdr:rowOff>
    </xdr:to>
    <xdr:graphicFrame macro="">
      <xdr:nvGraphicFramePr>
        <xdr:cNvPr id="8" name="Chart 7">
          <a:extLst>
            <a:ext uri="{FF2B5EF4-FFF2-40B4-BE49-F238E27FC236}">
              <a16:creationId xmlns:a16="http://schemas.microsoft.com/office/drawing/2014/main" id="{EC48E60B-EE04-4622-A055-0CAC04D1F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202944</xdr:colOff>
      <xdr:row>36</xdr:row>
      <xdr:rowOff>275667</xdr:rowOff>
    </xdr:from>
    <xdr:to>
      <xdr:col>12</xdr:col>
      <xdr:colOff>405632</xdr:colOff>
      <xdr:row>46</xdr:row>
      <xdr:rowOff>26202</xdr:rowOff>
    </xdr:to>
    <xdr:graphicFrame macro="">
      <xdr:nvGraphicFramePr>
        <xdr:cNvPr id="9" name="Chart 8">
          <a:extLst>
            <a:ext uri="{FF2B5EF4-FFF2-40B4-BE49-F238E27FC236}">
              <a16:creationId xmlns:a16="http://schemas.microsoft.com/office/drawing/2014/main" id="{8FA82CD5-838F-45D2-8618-945BD49A4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429054</xdr:colOff>
      <xdr:row>13</xdr:row>
      <xdr:rowOff>68649</xdr:rowOff>
    </xdr:from>
    <xdr:to>
      <xdr:col>14</xdr:col>
      <xdr:colOff>490151</xdr:colOff>
      <xdr:row>17</xdr:row>
      <xdr:rowOff>154460</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4F8466FB-FC13-43FA-9864-4D494FD8B1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050872" y="3695846"/>
              <a:ext cx="1831400" cy="1201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626418</xdr:colOff>
      <xdr:row>13</xdr:row>
      <xdr:rowOff>68648</xdr:rowOff>
    </xdr:from>
    <xdr:to>
      <xdr:col>16</xdr:col>
      <xdr:colOff>687515</xdr:colOff>
      <xdr:row>22</xdr:row>
      <xdr:rowOff>44192</xdr:rowOff>
    </xdr:to>
    <mc:AlternateContent xmlns:mc="http://schemas.openxmlformats.org/markup-compatibility/2006">
      <mc:Choice xmlns:a14="http://schemas.microsoft.com/office/drawing/2010/main" Requires="a14">
        <xdr:graphicFrame macro="">
          <xdr:nvGraphicFramePr>
            <xdr:cNvPr id="11" name="JobRole 1">
              <a:extLst>
                <a:ext uri="{FF2B5EF4-FFF2-40B4-BE49-F238E27FC236}">
                  <a16:creationId xmlns:a16="http://schemas.microsoft.com/office/drawing/2014/main" id="{98B26A62-B01A-40A8-A6E2-12FECBC1197F}"/>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3018539" y="3695845"/>
              <a:ext cx="1831400" cy="2486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429054</xdr:colOff>
      <xdr:row>18</xdr:row>
      <xdr:rowOff>0</xdr:rowOff>
    </xdr:from>
    <xdr:to>
      <xdr:col>14</xdr:col>
      <xdr:colOff>515895</xdr:colOff>
      <xdr:row>22</xdr:row>
      <xdr:rowOff>94392</xdr:rowOff>
    </xdr:to>
    <mc:AlternateContent xmlns:mc="http://schemas.openxmlformats.org/markup-compatibility/2006">
      <mc:Choice xmlns:a14="http://schemas.microsoft.com/office/drawing/2010/main" Requires="a14">
        <xdr:graphicFrame macro="">
          <xdr:nvGraphicFramePr>
            <xdr:cNvPr id="12" name="BusinessTravel 1">
              <a:extLst>
                <a:ext uri="{FF2B5EF4-FFF2-40B4-BE49-F238E27FC236}">
                  <a16:creationId xmlns:a16="http://schemas.microsoft.com/office/drawing/2014/main" id="{E983219E-6F15-4148-A639-80633772CA11}"/>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11050872" y="5022273"/>
              <a:ext cx="1857144" cy="1210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437635</xdr:colOff>
      <xdr:row>22</xdr:row>
      <xdr:rowOff>205947</xdr:rowOff>
    </xdr:from>
    <xdr:to>
      <xdr:col>14</xdr:col>
      <xdr:colOff>498732</xdr:colOff>
      <xdr:row>26</xdr:row>
      <xdr:rowOff>0</xdr:rowOff>
    </xdr:to>
    <mc:AlternateContent xmlns:mc="http://schemas.openxmlformats.org/markup-compatibility/2006">
      <mc:Choice xmlns:a14="http://schemas.microsoft.com/office/drawing/2010/main" Requires="a14">
        <xdr:graphicFrame macro="">
          <xdr:nvGraphicFramePr>
            <xdr:cNvPr id="13" name="OverTime 1">
              <a:extLst>
                <a:ext uri="{FF2B5EF4-FFF2-40B4-BE49-F238E27FC236}">
                  <a16:creationId xmlns:a16="http://schemas.microsoft.com/office/drawing/2014/main" id="{2367C170-3BB1-470B-BD2F-4FA120FC1339}"/>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11059453" y="6344280"/>
              <a:ext cx="1831400" cy="91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635000</xdr:colOff>
      <xdr:row>22</xdr:row>
      <xdr:rowOff>171622</xdr:rowOff>
    </xdr:from>
    <xdr:to>
      <xdr:col>16</xdr:col>
      <xdr:colOff>696097</xdr:colOff>
      <xdr:row>26</xdr:row>
      <xdr:rowOff>34324</xdr:rowOff>
    </xdr:to>
    <mc:AlternateContent xmlns:mc="http://schemas.openxmlformats.org/markup-compatibility/2006">
      <mc:Choice xmlns:a14="http://schemas.microsoft.com/office/drawing/2010/main" Requires="a14">
        <xdr:graphicFrame macro="">
          <xdr:nvGraphicFramePr>
            <xdr:cNvPr id="14" name="Gender 1">
              <a:extLst>
                <a:ext uri="{FF2B5EF4-FFF2-40B4-BE49-F238E27FC236}">
                  <a16:creationId xmlns:a16="http://schemas.microsoft.com/office/drawing/2014/main" id="{D4961763-E1DC-42BF-AEBA-B9F397CC4AD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027121" y="6309955"/>
              <a:ext cx="1831400" cy="978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463377</xdr:colOff>
      <xdr:row>31</xdr:row>
      <xdr:rowOff>51486</xdr:rowOff>
    </xdr:from>
    <xdr:to>
      <xdr:col>14</xdr:col>
      <xdr:colOff>524474</xdr:colOff>
      <xdr:row>38</xdr:row>
      <xdr:rowOff>77229</xdr:rowOff>
    </xdr:to>
    <mc:AlternateContent xmlns:mc="http://schemas.openxmlformats.org/markup-compatibility/2006">
      <mc:Choice xmlns:a14="http://schemas.microsoft.com/office/drawing/2010/main" Requires="a14">
        <xdr:graphicFrame macro="">
          <xdr:nvGraphicFramePr>
            <xdr:cNvPr id="15" name="EducationField 1">
              <a:extLst>
                <a:ext uri="{FF2B5EF4-FFF2-40B4-BE49-F238E27FC236}">
                  <a16:creationId xmlns:a16="http://schemas.microsoft.com/office/drawing/2014/main" id="{EC8B757C-36CB-4124-A2A3-DAB8A50D9DF6}"/>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1085195" y="8700956"/>
              <a:ext cx="1831400" cy="197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437636</xdr:colOff>
      <xdr:row>26</xdr:row>
      <xdr:rowOff>137297</xdr:rowOff>
    </xdr:from>
    <xdr:to>
      <xdr:col>14</xdr:col>
      <xdr:colOff>498733</xdr:colOff>
      <xdr:row>30</xdr:row>
      <xdr:rowOff>171622</xdr:rowOff>
    </xdr:to>
    <mc:AlternateContent xmlns:mc="http://schemas.openxmlformats.org/markup-compatibility/2006">
      <mc:Choice xmlns:a14="http://schemas.microsoft.com/office/drawing/2010/main" Requires="a14">
        <xdr:graphicFrame macro="">
          <xdr:nvGraphicFramePr>
            <xdr:cNvPr id="16" name="MaritalStatus 1">
              <a:extLst>
                <a:ext uri="{FF2B5EF4-FFF2-40B4-BE49-F238E27FC236}">
                  <a16:creationId xmlns:a16="http://schemas.microsoft.com/office/drawing/2014/main" id="{AFAAC90F-603A-4936-BC01-2E3467EB3217}"/>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11059454" y="7391691"/>
              <a:ext cx="1831400" cy="1150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652162</xdr:colOff>
      <xdr:row>26</xdr:row>
      <xdr:rowOff>154459</xdr:rowOff>
    </xdr:from>
    <xdr:to>
      <xdr:col>16</xdr:col>
      <xdr:colOff>713259</xdr:colOff>
      <xdr:row>38</xdr:row>
      <xdr:rowOff>42905</xdr:rowOff>
    </xdr:to>
    <mc:AlternateContent xmlns:mc="http://schemas.openxmlformats.org/markup-compatibility/2006">
      <mc:Choice xmlns:a14="http://schemas.microsoft.com/office/drawing/2010/main" Requires="a14">
        <xdr:graphicFrame macro="">
          <xdr:nvGraphicFramePr>
            <xdr:cNvPr id="17" name="YearsAtCompany 1">
              <a:extLst>
                <a:ext uri="{FF2B5EF4-FFF2-40B4-BE49-F238E27FC236}">
                  <a16:creationId xmlns:a16="http://schemas.microsoft.com/office/drawing/2014/main" id="{B78423EF-BAA8-4990-80E9-1A36B6864CAE}"/>
                </a:ext>
              </a:extLst>
            </xdr:cNvPr>
            <xdr:cNvGraphicFramePr/>
          </xdr:nvGraphicFramePr>
          <xdr:xfrm>
            <a:off x="0" y="0"/>
            <a:ext cx="0" cy="0"/>
          </xdr:xfrm>
          <a:graphic>
            <a:graphicData uri="http://schemas.microsoft.com/office/drawing/2010/slicer">
              <sle:slicer xmlns:sle="http://schemas.microsoft.com/office/drawing/2010/slicer" name="YearsAtCompany 1"/>
            </a:graphicData>
          </a:graphic>
        </xdr:graphicFrame>
      </mc:Choice>
      <mc:Fallback>
        <xdr:sp macro="" textlink="">
          <xdr:nvSpPr>
            <xdr:cNvPr id="0" name=""/>
            <xdr:cNvSpPr>
              <a:spLocks noTextEdit="1"/>
            </xdr:cNvSpPr>
          </xdr:nvSpPr>
          <xdr:spPr>
            <a:xfrm>
              <a:off x="13044283" y="7408853"/>
              <a:ext cx="1831400" cy="323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N" refreshedDate="46221.759790625001" createdVersion="8" refreshedVersion="8" minRefreshableVersion="3" recordCount="1470" xr:uid="{30414D1E-688A-458F-BB65-9F22AD1D4153}">
  <cacheSource type="worksheet">
    <worksheetSource name="Table1"/>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Column1" numFmtId="0">
      <sharedItems containsNonDate="0" containsString="0" containsBlank="1"/>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25110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n v="1"/>
    <n v="1"/>
    <n v="2"/>
    <x v="0"/>
    <n v="94"/>
    <n v="3"/>
    <n v="2"/>
    <x v="0"/>
    <n v="4"/>
    <x v="0"/>
    <n v="5993"/>
    <n v="19479"/>
    <n v="8"/>
    <s v="Y"/>
    <x v="0"/>
    <n v="11"/>
    <n v="3"/>
    <n v="1"/>
    <n v="80"/>
    <n v="0"/>
    <n v="8"/>
    <n v="0"/>
    <n v="1"/>
    <x v="0"/>
    <m/>
    <n v="4"/>
    <n v="0"/>
    <n v="5"/>
  </r>
  <r>
    <n v="49"/>
    <x v="1"/>
    <x v="1"/>
    <n v="279"/>
    <x v="1"/>
    <n v="8"/>
    <n v="1"/>
    <x v="0"/>
    <n v="1"/>
    <n v="2"/>
    <n v="3"/>
    <x v="1"/>
    <n v="61"/>
    <n v="2"/>
    <n v="2"/>
    <x v="1"/>
    <n v="2"/>
    <x v="1"/>
    <n v="5130"/>
    <n v="24907"/>
    <n v="1"/>
    <s v="Y"/>
    <x v="1"/>
    <n v="23"/>
    <n v="4"/>
    <n v="4"/>
    <n v="80"/>
    <n v="1"/>
    <n v="10"/>
    <n v="3"/>
    <n v="3"/>
    <x v="1"/>
    <m/>
    <n v="7"/>
    <n v="1"/>
    <n v="7"/>
  </r>
  <r>
    <n v="37"/>
    <x v="0"/>
    <x v="0"/>
    <n v="1373"/>
    <x v="1"/>
    <n v="2"/>
    <n v="2"/>
    <x v="1"/>
    <n v="1"/>
    <n v="4"/>
    <n v="4"/>
    <x v="1"/>
    <n v="92"/>
    <n v="2"/>
    <n v="1"/>
    <x v="2"/>
    <n v="3"/>
    <x v="0"/>
    <n v="2090"/>
    <n v="2396"/>
    <n v="6"/>
    <s v="Y"/>
    <x v="0"/>
    <n v="15"/>
    <n v="3"/>
    <n v="2"/>
    <n v="80"/>
    <n v="0"/>
    <n v="7"/>
    <n v="3"/>
    <n v="3"/>
    <x v="2"/>
    <m/>
    <n v="0"/>
    <n v="0"/>
    <n v="0"/>
  </r>
  <r>
    <n v="33"/>
    <x v="1"/>
    <x v="1"/>
    <n v="1392"/>
    <x v="1"/>
    <n v="3"/>
    <n v="4"/>
    <x v="0"/>
    <n v="1"/>
    <n v="5"/>
    <n v="4"/>
    <x v="0"/>
    <n v="56"/>
    <n v="3"/>
    <n v="1"/>
    <x v="1"/>
    <n v="3"/>
    <x v="1"/>
    <n v="2909"/>
    <n v="23159"/>
    <n v="1"/>
    <s v="Y"/>
    <x v="0"/>
    <n v="11"/>
    <n v="3"/>
    <n v="3"/>
    <n v="80"/>
    <n v="0"/>
    <n v="8"/>
    <n v="3"/>
    <n v="3"/>
    <x v="3"/>
    <m/>
    <n v="7"/>
    <n v="3"/>
    <n v="0"/>
  </r>
  <r>
    <n v="27"/>
    <x v="1"/>
    <x v="0"/>
    <n v="591"/>
    <x v="1"/>
    <n v="2"/>
    <n v="1"/>
    <x v="2"/>
    <n v="1"/>
    <n v="7"/>
    <n v="1"/>
    <x v="1"/>
    <n v="40"/>
    <n v="3"/>
    <n v="1"/>
    <x v="2"/>
    <n v="2"/>
    <x v="1"/>
    <n v="3468"/>
    <n v="16632"/>
    <n v="9"/>
    <s v="Y"/>
    <x v="1"/>
    <n v="12"/>
    <n v="3"/>
    <n v="4"/>
    <n v="80"/>
    <n v="1"/>
    <n v="6"/>
    <n v="3"/>
    <n v="3"/>
    <x v="4"/>
    <m/>
    <n v="2"/>
    <n v="2"/>
    <n v="2"/>
  </r>
  <r>
    <n v="32"/>
    <x v="1"/>
    <x v="1"/>
    <n v="1005"/>
    <x v="1"/>
    <n v="2"/>
    <n v="2"/>
    <x v="0"/>
    <n v="1"/>
    <n v="8"/>
    <n v="4"/>
    <x v="1"/>
    <n v="79"/>
    <n v="3"/>
    <n v="1"/>
    <x v="2"/>
    <n v="4"/>
    <x v="0"/>
    <n v="3068"/>
    <n v="11864"/>
    <n v="0"/>
    <s v="Y"/>
    <x v="1"/>
    <n v="13"/>
    <n v="3"/>
    <n v="3"/>
    <n v="80"/>
    <n v="0"/>
    <n v="8"/>
    <n v="2"/>
    <n v="2"/>
    <x v="5"/>
    <m/>
    <n v="7"/>
    <n v="3"/>
    <n v="6"/>
  </r>
  <r>
    <n v="59"/>
    <x v="1"/>
    <x v="0"/>
    <n v="1324"/>
    <x v="1"/>
    <n v="3"/>
    <n v="3"/>
    <x v="2"/>
    <n v="1"/>
    <n v="10"/>
    <n v="3"/>
    <x v="0"/>
    <n v="81"/>
    <n v="4"/>
    <n v="1"/>
    <x v="2"/>
    <n v="1"/>
    <x v="1"/>
    <n v="2670"/>
    <n v="9964"/>
    <n v="4"/>
    <s v="Y"/>
    <x v="0"/>
    <n v="20"/>
    <n v="4"/>
    <n v="1"/>
    <n v="80"/>
    <n v="3"/>
    <n v="12"/>
    <n v="3"/>
    <n v="2"/>
    <x v="6"/>
    <m/>
    <n v="0"/>
    <n v="0"/>
    <n v="0"/>
  </r>
  <r>
    <n v="30"/>
    <x v="1"/>
    <x v="0"/>
    <n v="1358"/>
    <x v="1"/>
    <n v="24"/>
    <n v="1"/>
    <x v="0"/>
    <n v="1"/>
    <n v="11"/>
    <n v="4"/>
    <x v="1"/>
    <n v="67"/>
    <n v="3"/>
    <n v="1"/>
    <x v="2"/>
    <n v="3"/>
    <x v="2"/>
    <n v="2693"/>
    <n v="13335"/>
    <n v="1"/>
    <s v="Y"/>
    <x v="1"/>
    <n v="22"/>
    <n v="4"/>
    <n v="2"/>
    <n v="80"/>
    <n v="1"/>
    <n v="1"/>
    <n v="2"/>
    <n v="3"/>
    <x v="6"/>
    <m/>
    <n v="0"/>
    <n v="0"/>
    <n v="0"/>
  </r>
  <r>
    <n v="38"/>
    <x v="1"/>
    <x v="1"/>
    <n v="216"/>
    <x v="1"/>
    <n v="23"/>
    <n v="3"/>
    <x v="0"/>
    <n v="1"/>
    <n v="12"/>
    <n v="4"/>
    <x v="1"/>
    <n v="44"/>
    <n v="2"/>
    <n v="3"/>
    <x v="3"/>
    <n v="3"/>
    <x v="0"/>
    <n v="9526"/>
    <n v="8787"/>
    <n v="0"/>
    <s v="Y"/>
    <x v="1"/>
    <n v="21"/>
    <n v="4"/>
    <n v="2"/>
    <n v="80"/>
    <n v="0"/>
    <n v="10"/>
    <n v="2"/>
    <n v="3"/>
    <x v="7"/>
    <m/>
    <n v="7"/>
    <n v="1"/>
    <n v="8"/>
  </r>
  <r>
    <n v="36"/>
    <x v="1"/>
    <x v="0"/>
    <n v="1299"/>
    <x v="1"/>
    <n v="27"/>
    <n v="3"/>
    <x v="2"/>
    <n v="1"/>
    <n v="13"/>
    <n v="3"/>
    <x v="1"/>
    <n v="94"/>
    <n v="3"/>
    <n v="2"/>
    <x v="4"/>
    <n v="3"/>
    <x v="1"/>
    <n v="5237"/>
    <n v="16577"/>
    <n v="6"/>
    <s v="Y"/>
    <x v="1"/>
    <n v="13"/>
    <n v="3"/>
    <n v="2"/>
    <n v="80"/>
    <n v="2"/>
    <n v="17"/>
    <n v="3"/>
    <n v="2"/>
    <x v="5"/>
    <m/>
    <n v="7"/>
    <n v="7"/>
    <n v="7"/>
  </r>
  <r>
    <n v="35"/>
    <x v="1"/>
    <x v="0"/>
    <n v="809"/>
    <x v="1"/>
    <n v="16"/>
    <n v="3"/>
    <x v="2"/>
    <n v="1"/>
    <n v="14"/>
    <n v="1"/>
    <x v="1"/>
    <n v="84"/>
    <n v="4"/>
    <n v="1"/>
    <x v="2"/>
    <n v="2"/>
    <x v="1"/>
    <n v="2426"/>
    <n v="16479"/>
    <n v="0"/>
    <s v="Y"/>
    <x v="1"/>
    <n v="13"/>
    <n v="3"/>
    <n v="3"/>
    <n v="80"/>
    <n v="1"/>
    <n v="6"/>
    <n v="5"/>
    <n v="3"/>
    <x v="8"/>
    <m/>
    <n v="4"/>
    <n v="0"/>
    <n v="3"/>
  </r>
  <r>
    <n v="29"/>
    <x v="1"/>
    <x v="0"/>
    <n v="153"/>
    <x v="1"/>
    <n v="15"/>
    <n v="2"/>
    <x v="0"/>
    <n v="1"/>
    <n v="15"/>
    <n v="4"/>
    <x v="0"/>
    <n v="49"/>
    <n v="2"/>
    <n v="2"/>
    <x v="2"/>
    <n v="3"/>
    <x v="0"/>
    <n v="4193"/>
    <n v="12682"/>
    <n v="0"/>
    <s v="Y"/>
    <x v="0"/>
    <n v="12"/>
    <n v="3"/>
    <n v="4"/>
    <n v="80"/>
    <n v="0"/>
    <n v="10"/>
    <n v="3"/>
    <n v="3"/>
    <x v="7"/>
    <m/>
    <n v="5"/>
    <n v="0"/>
    <n v="8"/>
  </r>
  <r>
    <n v="31"/>
    <x v="1"/>
    <x v="0"/>
    <n v="670"/>
    <x v="1"/>
    <n v="26"/>
    <n v="1"/>
    <x v="0"/>
    <n v="1"/>
    <n v="16"/>
    <n v="1"/>
    <x v="1"/>
    <n v="31"/>
    <n v="3"/>
    <n v="1"/>
    <x v="1"/>
    <n v="3"/>
    <x v="2"/>
    <n v="2911"/>
    <n v="15170"/>
    <n v="1"/>
    <s v="Y"/>
    <x v="1"/>
    <n v="17"/>
    <n v="3"/>
    <n v="4"/>
    <n v="80"/>
    <n v="1"/>
    <n v="5"/>
    <n v="1"/>
    <n v="2"/>
    <x v="8"/>
    <m/>
    <n v="2"/>
    <n v="4"/>
    <n v="3"/>
  </r>
  <r>
    <n v="34"/>
    <x v="1"/>
    <x v="0"/>
    <n v="1346"/>
    <x v="1"/>
    <n v="19"/>
    <n v="2"/>
    <x v="2"/>
    <n v="1"/>
    <n v="18"/>
    <n v="2"/>
    <x v="1"/>
    <n v="93"/>
    <n v="3"/>
    <n v="1"/>
    <x v="2"/>
    <n v="4"/>
    <x v="2"/>
    <n v="2661"/>
    <n v="8758"/>
    <n v="0"/>
    <s v="Y"/>
    <x v="1"/>
    <n v="11"/>
    <n v="3"/>
    <n v="3"/>
    <n v="80"/>
    <n v="1"/>
    <n v="3"/>
    <n v="2"/>
    <n v="3"/>
    <x v="4"/>
    <m/>
    <n v="2"/>
    <n v="1"/>
    <n v="2"/>
  </r>
  <r>
    <n v="28"/>
    <x v="0"/>
    <x v="0"/>
    <n v="103"/>
    <x v="1"/>
    <n v="24"/>
    <n v="3"/>
    <x v="0"/>
    <n v="1"/>
    <n v="19"/>
    <n v="3"/>
    <x v="1"/>
    <n v="50"/>
    <n v="2"/>
    <n v="1"/>
    <x v="2"/>
    <n v="3"/>
    <x v="0"/>
    <n v="2028"/>
    <n v="12947"/>
    <n v="5"/>
    <s v="Y"/>
    <x v="0"/>
    <n v="14"/>
    <n v="3"/>
    <n v="2"/>
    <n v="80"/>
    <n v="0"/>
    <n v="6"/>
    <n v="4"/>
    <n v="3"/>
    <x v="9"/>
    <m/>
    <n v="2"/>
    <n v="0"/>
    <n v="3"/>
  </r>
  <r>
    <n v="29"/>
    <x v="1"/>
    <x v="0"/>
    <n v="1389"/>
    <x v="1"/>
    <n v="21"/>
    <n v="4"/>
    <x v="0"/>
    <n v="1"/>
    <n v="20"/>
    <n v="2"/>
    <x v="0"/>
    <n v="51"/>
    <n v="4"/>
    <n v="3"/>
    <x v="3"/>
    <n v="1"/>
    <x v="2"/>
    <n v="9980"/>
    <n v="10195"/>
    <n v="1"/>
    <s v="Y"/>
    <x v="1"/>
    <n v="11"/>
    <n v="3"/>
    <n v="3"/>
    <n v="80"/>
    <n v="1"/>
    <n v="10"/>
    <n v="1"/>
    <n v="3"/>
    <x v="1"/>
    <m/>
    <n v="9"/>
    <n v="8"/>
    <n v="8"/>
  </r>
  <r>
    <n v="32"/>
    <x v="1"/>
    <x v="0"/>
    <n v="334"/>
    <x v="1"/>
    <n v="5"/>
    <n v="2"/>
    <x v="0"/>
    <n v="1"/>
    <n v="21"/>
    <n v="1"/>
    <x v="1"/>
    <n v="80"/>
    <n v="4"/>
    <n v="1"/>
    <x v="1"/>
    <n v="2"/>
    <x v="2"/>
    <n v="3298"/>
    <n v="15053"/>
    <n v="0"/>
    <s v="Y"/>
    <x v="0"/>
    <n v="12"/>
    <n v="3"/>
    <n v="4"/>
    <n v="80"/>
    <n v="2"/>
    <n v="7"/>
    <n v="5"/>
    <n v="2"/>
    <x v="0"/>
    <m/>
    <n v="2"/>
    <n v="0"/>
    <n v="5"/>
  </r>
  <r>
    <n v="22"/>
    <x v="1"/>
    <x v="2"/>
    <n v="1123"/>
    <x v="1"/>
    <n v="16"/>
    <n v="2"/>
    <x v="2"/>
    <n v="1"/>
    <n v="22"/>
    <n v="4"/>
    <x v="1"/>
    <n v="96"/>
    <n v="4"/>
    <n v="1"/>
    <x v="2"/>
    <n v="4"/>
    <x v="2"/>
    <n v="2935"/>
    <n v="7324"/>
    <n v="1"/>
    <s v="Y"/>
    <x v="0"/>
    <n v="13"/>
    <n v="3"/>
    <n v="2"/>
    <n v="80"/>
    <n v="2"/>
    <n v="1"/>
    <n v="2"/>
    <n v="2"/>
    <x v="6"/>
    <m/>
    <n v="0"/>
    <n v="0"/>
    <n v="0"/>
  </r>
  <r>
    <n v="53"/>
    <x v="1"/>
    <x v="0"/>
    <n v="1219"/>
    <x v="0"/>
    <n v="2"/>
    <n v="4"/>
    <x v="0"/>
    <n v="1"/>
    <n v="23"/>
    <n v="1"/>
    <x v="0"/>
    <n v="78"/>
    <n v="2"/>
    <n v="4"/>
    <x v="5"/>
    <n v="4"/>
    <x v="1"/>
    <n v="15427"/>
    <n v="22021"/>
    <n v="2"/>
    <s v="Y"/>
    <x v="1"/>
    <n v="16"/>
    <n v="3"/>
    <n v="3"/>
    <n v="80"/>
    <n v="0"/>
    <n v="31"/>
    <n v="3"/>
    <n v="3"/>
    <x v="10"/>
    <m/>
    <n v="8"/>
    <n v="3"/>
    <n v="7"/>
  </r>
  <r>
    <n v="38"/>
    <x v="1"/>
    <x v="0"/>
    <n v="371"/>
    <x v="1"/>
    <n v="2"/>
    <n v="3"/>
    <x v="0"/>
    <n v="1"/>
    <n v="24"/>
    <n v="4"/>
    <x v="1"/>
    <n v="45"/>
    <n v="3"/>
    <n v="1"/>
    <x v="1"/>
    <n v="4"/>
    <x v="0"/>
    <n v="3944"/>
    <n v="4306"/>
    <n v="5"/>
    <s v="Y"/>
    <x v="0"/>
    <n v="11"/>
    <n v="3"/>
    <n v="3"/>
    <n v="80"/>
    <n v="0"/>
    <n v="6"/>
    <n v="3"/>
    <n v="3"/>
    <x v="11"/>
    <m/>
    <n v="2"/>
    <n v="1"/>
    <n v="2"/>
  </r>
  <r>
    <n v="24"/>
    <x v="1"/>
    <x v="2"/>
    <n v="673"/>
    <x v="1"/>
    <n v="11"/>
    <n v="2"/>
    <x v="1"/>
    <n v="1"/>
    <n v="26"/>
    <n v="1"/>
    <x v="0"/>
    <n v="96"/>
    <n v="4"/>
    <n v="2"/>
    <x v="3"/>
    <n v="3"/>
    <x v="2"/>
    <n v="4011"/>
    <n v="8232"/>
    <n v="0"/>
    <s v="Y"/>
    <x v="1"/>
    <n v="18"/>
    <n v="3"/>
    <n v="4"/>
    <n v="80"/>
    <n v="1"/>
    <n v="5"/>
    <n v="5"/>
    <n v="2"/>
    <x v="9"/>
    <m/>
    <n v="2"/>
    <n v="1"/>
    <n v="3"/>
  </r>
  <r>
    <n v="36"/>
    <x v="0"/>
    <x v="0"/>
    <n v="1218"/>
    <x v="0"/>
    <n v="9"/>
    <n v="4"/>
    <x v="0"/>
    <n v="1"/>
    <n v="27"/>
    <n v="3"/>
    <x v="1"/>
    <n v="82"/>
    <n v="2"/>
    <n v="1"/>
    <x v="6"/>
    <n v="1"/>
    <x v="0"/>
    <n v="3407"/>
    <n v="6986"/>
    <n v="7"/>
    <s v="Y"/>
    <x v="1"/>
    <n v="23"/>
    <n v="4"/>
    <n v="2"/>
    <n v="80"/>
    <n v="0"/>
    <n v="10"/>
    <n v="4"/>
    <n v="3"/>
    <x v="8"/>
    <m/>
    <n v="3"/>
    <n v="0"/>
    <n v="3"/>
  </r>
  <r>
    <n v="34"/>
    <x v="1"/>
    <x v="0"/>
    <n v="419"/>
    <x v="1"/>
    <n v="7"/>
    <n v="4"/>
    <x v="0"/>
    <n v="1"/>
    <n v="28"/>
    <n v="1"/>
    <x v="0"/>
    <n v="53"/>
    <n v="3"/>
    <n v="3"/>
    <x v="7"/>
    <n v="2"/>
    <x v="0"/>
    <n v="11994"/>
    <n v="21293"/>
    <n v="0"/>
    <s v="Y"/>
    <x v="1"/>
    <n v="11"/>
    <n v="3"/>
    <n v="3"/>
    <n v="80"/>
    <n v="0"/>
    <n v="13"/>
    <n v="4"/>
    <n v="3"/>
    <x v="12"/>
    <m/>
    <n v="6"/>
    <n v="2"/>
    <n v="11"/>
  </r>
  <r>
    <n v="21"/>
    <x v="1"/>
    <x v="0"/>
    <n v="391"/>
    <x v="1"/>
    <n v="15"/>
    <n v="2"/>
    <x v="0"/>
    <n v="1"/>
    <n v="30"/>
    <n v="3"/>
    <x v="1"/>
    <n v="96"/>
    <n v="3"/>
    <n v="1"/>
    <x v="1"/>
    <n v="4"/>
    <x v="0"/>
    <n v="1232"/>
    <n v="19281"/>
    <n v="1"/>
    <s v="Y"/>
    <x v="1"/>
    <n v="14"/>
    <n v="3"/>
    <n v="4"/>
    <n v="80"/>
    <n v="0"/>
    <n v="0"/>
    <n v="6"/>
    <n v="3"/>
    <x v="2"/>
    <m/>
    <n v="0"/>
    <n v="0"/>
    <n v="0"/>
  </r>
  <r>
    <n v="34"/>
    <x v="0"/>
    <x v="0"/>
    <n v="699"/>
    <x v="1"/>
    <n v="6"/>
    <n v="1"/>
    <x v="2"/>
    <n v="1"/>
    <n v="31"/>
    <n v="2"/>
    <x v="1"/>
    <n v="83"/>
    <n v="3"/>
    <n v="1"/>
    <x v="1"/>
    <n v="1"/>
    <x v="0"/>
    <n v="2960"/>
    <n v="17102"/>
    <n v="2"/>
    <s v="Y"/>
    <x v="1"/>
    <n v="11"/>
    <n v="3"/>
    <n v="3"/>
    <n v="80"/>
    <n v="0"/>
    <n v="8"/>
    <n v="2"/>
    <n v="3"/>
    <x v="9"/>
    <m/>
    <n v="2"/>
    <n v="1"/>
    <n v="3"/>
  </r>
  <r>
    <n v="53"/>
    <x v="1"/>
    <x v="0"/>
    <n v="1282"/>
    <x v="1"/>
    <n v="5"/>
    <n v="3"/>
    <x v="1"/>
    <n v="1"/>
    <n v="32"/>
    <n v="3"/>
    <x v="0"/>
    <n v="58"/>
    <n v="3"/>
    <n v="5"/>
    <x v="5"/>
    <n v="3"/>
    <x v="2"/>
    <n v="19094"/>
    <n v="10735"/>
    <n v="4"/>
    <s v="Y"/>
    <x v="1"/>
    <n v="11"/>
    <n v="3"/>
    <n v="4"/>
    <n v="80"/>
    <n v="1"/>
    <n v="26"/>
    <n v="3"/>
    <n v="2"/>
    <x v="13"/>
    <m/>
    <n v="13"/>
    <n v="4"/>
    <n v="8"/>
  </r>
  <r>
    <n v="32"/>
    <x v="0"/>
    <x v="1"/>
    <n v="1125"/>
    <x v="1"/>
    <n v="16"/>
    <n v="1"/>
    <x v="0"/>
    <n v="1"/>
    <n v="33"/>
    <n v="2"/>
    <x v="0"/>
    <n v="72"/>
    <n v="1"/>
    <n v="1"/>
    <x v="1"/>
    <n v="1"/>
    <x v="0"/>
    <n v="3919"/>
    <n v="4681"/>
    <n v="1"/>
    <s v="Y"/>
    <x v="0"/>
    <n v="22"/>
    <n v="4"/>
    <n v="2"/>
    <n v="80"/>
    <n v="0"/>
    <n v="10"/>
    <n v="5"/>
    <n v="3"/>
    <x v="1"/>
    <m/>
    <n v="2"/>
    <n v="6"/>
    <n v="7"/>
  </r>
  <r>
    <n v="42"/>
    <x v="1"/>
    <x v="0"/>
    <n v="691"/>
    <x v="0"/>
    <n v="8"/>
    <n v="4"/>
    <x v="3"/>
    <n v="1"/>
    <n v="35"/>
    <n v="3"/>
    <x v="1"/>
    <n v="48"/>
    <n v="3"/>
    <n v="2"/>
    <x v="0"/>
    <n v="2"/>
    <x v="1"/>
    <n v="6825"/>
    <n v="21173"/>
    <n v="0"/>
    <s v="Y"/>
    <x v="1"/>
    <n v="11"/>
    <n v="3"/>
    <n v="4"/>
    <n v="80"/>
    <n v="1"/>
    <n v="10"/>
    <n v="2"/>
    <n v="3"/>
    <x v="7"/>
    <m/>
    <n v="7"/>
    <n v="4"/>
    <n v="2"/>
  </r>
  <r>
    <n v="44"/>
    <x v="1"/>
    <x v="0"/>
    <n v="477"/>
    <x v="1"/>
    <n v="7"/>
    <n v="4"/>
    <x v="2"/>
    <n v="1"/>
    <n v="36"/>
    <n v="1"/>
    <x v="0"/>
    <n v="42"/>
    <n v="2"/>
    <n v="3"/>
    <x v="4"/>
    <n v="4"/>
    <x v="1"/>
    <n v="10248"/>
    <n v="2094"/>
    <n v="3"/>
    <s v="Y"/>
    <x v="1"/>
    <n v="14"/>
    <n v="3"/>
    <n v="4"/>
    <n v="80"/>
    <n v="1"/>
    <n v="24"/>
    <n v="4"/>
    <n v="3"/>
    <x v="14"/>
    <m/>
    <n v="6"/>
    <n v="5"/>
    <n v="17"/>
  </r>
  <r>
    <n v="46"/>
    <x v="1"/>
    <x v="0"/>
    <n v="705"/>
    <x v="0"/>
    <n v="2"/>
    <n v="4"/>
    <x v="3"/>
    <n v="1"/>
    <n v="38"/>
    <n v="2"/>
    <x v="0"/>
    <n v="83"/>
    <n v="3"/>
    <n v="5"/>
    <x v="5"/>
    <n v="1"/>
    <x v="0"/>
    <n v="18947"/>
    <n v="22822"/>
    <n v="3"/>
    <s v="Y"/>
    <x v="1"/>
    <n v="12"/>
    <n v="3"/>
    <n v="4"/>
    <n v="80"/>
    <n v="0"/>
    <n v="22"/>
    <n v="2"/>
    <n v="2"/>
    <x v="4"/>
    <m/>
    <n v="2"/>
    <n v="2"/>
    <n v="1"/>
  </r>
  <r>
    <n v="33"/>
    <x v="1"/>
    <x v="0"/>
    <n v="924"/>
    <x v="1"/>
    <n v="2"/>
    <n v="3"/>
    <x v="2"/>
    <n v="1"/>
    <n v="39"/>
    <n v="3"/>
    <x v="1"/>
    <n v="78"/>
    <n v="3"/>
    <n v="1"/>
    <x v="2"/>
    <n v="4"/>
    <x v="0"/>
    <n v="2496"/>
    <n v="6670"/>
    <n v="4"/>
    <s v="Y"/>
    <x v="1"/>
    <n v="11"/>
    <n v="3"/>
    <n v="4"/>
    <n v="80"/>
    <n v="0"/>
    <n v="7"/>
    <n v="3"/>
    <n v="3"/>
    <x v="6"/>
    <m/>
    <n v="1"/>
    <n v="0"/>
    <n v="0"/>
  </r>
  <r>
    <n v="44"/>
    <x v="1"/>
    <x v="0"/>
    <n v="1459"/>
    <x v="1"/>
    <n v="10"/>
    <n v="4"/>
    <x v="1"/>
    <n v="1"/>
    <n v="40"/>
    <n v="4"/>
    <x v="1"/>
    <n v="41"/>
    <n v="3"/>
    <n v="2"/>
    <x v="4"/>
    <n v="4"/>
    <x v="1"/>
    <n v="6465"/>
    <n v="19121"/>
    <n v="2"/>
    <s v="Y"/>
    <x v="0"/>
    <n v="13"/>
    <n v="3"/>
    <n v="4"/>
    <n v="80"/>
    <n v="0"/>
    <n v="9"/>
    <n v="5"/>
    <n v="4"/>
    <x v="9"/>
    <m/>
    <n v="2"/>
    <n v="1"/>
    <n v="3"/>
  </r>
  <r>
    <n v="30"/>
    <x v="1"/>
    <x v="0"/>
    <n v="125"/>
    <x v="1"/>
    <n v="9"/>
    <n v="2"/>
    <x v="2"/>
    <n v="1"/>
    <n v="41"/>
    <n v="4"/>
    <x v="1"/>
    <n v="83"/>
    <n v="2"/>
    <n v="1"/>
    <x v="2"/>
    <n v="3"/>
    <x v="0"/>
    <n v="2206"/>
    <n v="16117"/>
    <n v="1"/>
    <s v="Y"/>
    <x v="1"/>
    <n v="13"/>
    <n v="3"/>
    <n v="1"/>
    <n v="80"/>
    <n v="0"/>
    <n v="10"/>
    <n v="5"/>
    <n v="3"/>
    <x v="1"/>
    <m/>
    <n v="0"/>
    <n v="1"/>
    <n v="8"/>
  </r>
  <r>
    <n v="39"/>
    <x v="0"/>
    <x v="0"/>
    <n v="895"/>
    <x v="0"/>
    <n v="5"/>
    <n v="3"/>
    <x v="4"/>
    <n v="1"/>
    <n v="42"/>
    <n v="4"/>
    <x v="1"/>
    <n v="56"/>
    <n v="3"/>
    <n v="2"/>
    <x v="6"/>
    <n v="4"/>
    <x v="1"/>
    <n v="2086"/>
    <n v="3335"/>
    <n v="3"/>
    <s v="Y"/>
    <x v="1"/>
    <n v="14"/>
    <n v="3"/>
    <n v="3"/>
    <n v="80"/>
    <n v="1"/>
    <n v="19"/>
    <n v="6"/>
    <n v="4"/>
    <x v="6"/>
    <m/>
    <n v="0"/>
    <n v="0"/>
    <n v="0"/>
  </r>
  <r>
    <n v="24"/>
    <x v="0"/>
    <x v="0"/>
    <n v="813"/>
    <x v="1"/>
    <n v="1"/>
    <n v="3"/>
    <x v="2"/>
    <n v="1"/>
    <n v="45"/>
    <n v="2"/>
    <x v="1"/>
    <n v="61"/>
    <n v="3"/>
    <n v="1"/>
    <x v="1"/>
    <n v="4"/>
    <x v="1"/>
    <n v="2293"/>
    <n v="3020"/>
    <n v="2"/>
    <s v="Y"/>
    <x v="0"/>
    <n v="16"/>
    <n v="3"/>
    <n v="1"/>
    <n v="80"/>
    <n v="1"/>
    <n v="6"/>
    <n v="2"/>
    <n v="2"/>
    <x v="4"/>
    <m/>
    <n v="0"/>
    <n v="2"/>
    <n v="0"/>
  </r>
  <r>
    <n v="43"/>
    <x v="1"/>
    <x v="0"/>
    <n v="1273"/>
    <x v="1"/>
    <n v="2"/>
    <n v="2"/>
    <x v="2"/>
    <n v="1"/>
    <n v="46"/>
    <n v="4"/>
    <x v="0"/>
    <n v="72"/>
    <n v="4"/>
    <n v="1"/>
    <x v="1"/>
    <n v="3"/>
    <x v="2"/>
    <n v="2645"/>
    <n v="21923"/>
    <n v="1"/>
    <s v="Y"/>
    <x v="1"/>
    <n v="12"/>
    <n v="3"/>
    <n v="4"/>
    <n v="80"/>
    <n v="2"/>
    <n v="6"/>
    <n v="3"/>
    <n v="2"/>
    <x v="8"/>
    <m/>
    <n v="3"/>
    <n v="1"/>
    <n v="4"/>
  </r>
  <r>
    <n v="50"/>
    <x v="0"/>
    <x v="0"/>
    <n v="869"/>
    <x v="0"/>
    <n v="3"/>
    <n v="2"/>
    <x v="3"/>
    <n v="1"/>
    <n v="47"/>
    <n v="1"/>
    <x v="1"/>
    <n v="86"/>
    <n v="2"/>
    <n v="1"/>
    <x v="6"/>
    <n v="3"/>
    <x v="1"/>
    <n v="2683"/>
    <n v="3810"/>
    <n v="1"/>
    <s v="Y"/>
    <x v="0"/>
    <n v="14"/>
    <n v="3"/>
    <n v="3"/>
    <n v="80"/>
    <n v="0"/>
    <n v="3"/>
    <n v="2"/>
    <n v="3"/>
    <x v="11"/>
    <m/>
    <n v="2"/>
    <n v="0"/>
    <n v="2"/>
  </r>
  <r>
    <n v="35"/>
    <x v="1"/>
    <x v="0"/>
    <n v="890"/>
    <x v="0"/>
    <n v="2"/>
    <n v="3"/>
    <x v="3"/>
    <n v="1"/>
    <n v="49"/>
    <n v="4"/>
    <x v="0"/>
    <n v="97"/>
    <n v="3"/>
    <n v="1"/>
    <x v="6"/>
    <n v="4"/>
    <x v="1"/>
    <n v="2014"/>
    <n v="9687"/>
    <n v="1"/>
    <s v="Y"/>
    <x v="1"/>
    <n v="13"/>
    <n v="3"/>
    <n v="1"/>
    <n v="80"/>
    <n v="0"/>
    <n v="2"/>
    <n v="3"/>
    <n v="3"/>
    <x v="4"/>
    <m/>
    <n v="2"/>
    <n v="2"/>
    <n v="2"/>
  </r>
  <r>
    <n v="36"/>
    <x v="1"/>
    <x v="0"/>
    <n v="852"/>
    <x v="1"/>
    <n v="5"/>
    <n v="4"/>
    <x v="0"/>
    <n v="1"/>
    <n v="51"/>
    <n v="2"/>
    <x v="0"/>
    <n v="82"/>
    <n v="2"/>
    <n v="1"/>
    <x v="1"/>
    <n v="1"/>
    <x v="1"/>
    <n v="3419"/>
    <n v="13072"/>
    <n v="9"/>
    <s v="Y"/>
    <x v="0"/>
    <n v="14"/>
    <n v="3"/>
    <n v="4"/>
    <n v="80"/>
    <n v="1"/>
    <n v="6"/>
    <n v="3"/>
    <n v="4"/>
    <x v="6"/>
    <m/>
    <n v="1"/>
    <n v="0"/>
    <n v="0"/>
  </r>
  <r>
    <n v="33"/>
    <x v="1"/>
    <x v="1"/>
    <n v="1141"/>
    <x v="0"/>
    <n v="1"/>
    <n v="3"/>
    <x v="0"/>
    <n v="1"/>
    <n v="52"/>
    <n v="3"/>
    <x v="0"/>
    <n v="42"/>
    <n v="4"/>
    <n v="2"/>
    <x v="0"/>
    <n v="1"/>
    <x v="1"/>
    <n v="5376"/>
    <n v="3193"/>
    <n v="2"/>
    <s v="Y"/>
    <x v="1"/>
    <n v="19"/>
    <n v="3"/>
    <n v="1"/>
    <n v="80"/>
    <n v="2"/>
    <n v="10"/>
    <n v="3"/>
    <n v="3"/>
    <x v="8"/>
    <m/>
    <n v="3"/>
    <n v="1"/>
    <n v="3"/>
  </r>
  <r>
    <n v="35"/>
    <x v="1"/>
    <x v="0"/>
    <n v="464"/>
    <x v="1"/>
    <n v="4"/>
    <n v="2"/>
    <x v="1"/>
    <n v="1"/>
    <n v="53"/>
    <n v="3"/>
    <x v="1"/>
    <n v="75"/>
    <n v="3"/>
    <n v="1"/>
    <x v="2"/>
    <n v="4"/>
    <x v="2"/>
    <n v="1951"/>
    <n v="10910"/>
    <n v="1"/>
    <s v="Y"/>
    <x v="1"/>
    <n v="12"/>
    <n v="3"/>
    <n v="3"/>
    <n v="80"/>
    <n v="1"/>
    <n v="1"/>
    <n v="3"/>
    <n v="3"/>
    <x v="6"/>
    <m/>
    <n v="0"/>
    <n v="0"/>
    <n v="0"/>
  </r>
  <r>
    <n v="27"/>
    <x v="1"/>
    <x v="0"/>
    <n v="1240"/>
    <x v="1"/>
    <n v="2"/>
    <n v="4"/>
    <x v="0"/>
    <n v="1"/>
    <n v="54"/>
    <n v="4"/>
    <x v="0"/>
    <n v="33"/>
    <n v="3"/>
    <n v="1"/>
    <x v="2"/>
    <n v="1"/>
    <x v="2"/>
    <n v="2341"/>
    <n v="19715"/>
    <n v="1"/>
    <s v="Y"/>
    <x v="1"/>
    <n v="13"/>
    <n v="3"/>
    <n v="4"/>
    <n v="80"/>
    <n v="1"/>
    <n v="1"/>
    <n v="6"/>
    <n v="3"/>
    <x v="6"/>
    <m/>
    <n v="0"/>
    <n v="0"/>
    <n v="0"/>
  </r>
  <r>
    <n v="26"/>
    <x v="0"/>
    <x v="0"/>
    <n v="1357"/>
    <x v="1"/>
    <n v="25"/>
    <n v="3"/>
    <x v="0"/>
    <n v="1"/>
    <n v="55"/>
    <n v="1"/>
    <x v="1"/>
    <n v="48"/>
    <n v="1"/>
    <n v="1"/>
    <x v="2"/>
    <n v="3"/>
    <x v="0"/>
    <n v="2293"/>
    <n v="10558"/>
    <n v="1"/>
    <s v="Y"/>
    <x v="1"/>
    <n v="12"/>
    <n v="3"/>
    <n v="3"/>
    <n v="80"/>
    <n v="0"/>
    <n v="1"/>
    <n v="2"/>
    <n v="2"/>
    <x v="6"/>
    <m/>
    <n v="0"/>
    <n v="0"/>
    <n v="1"/>
  </r>
  <r>
    <n v="27"/>
    <x v="1"/>
    <x v="1"/>
    <n v="994"/>
    <x v="0"/>
    <n v="8"/>
    <n v="3"/>
    <x v="0"/>
    <n v="1"/>
    <n v="56"/>
    <n v="4"/>
    <x v="1"/>
    <n v="37"/>
    <n v="3"/>
    <n v="3"/>
    <x v="0"/>
    <n v="3"/>
    <x v="0"/>
    <n v="8726"/>
    <n v="2975"/>
    <n v="1"/>
    <s v="Y"/>
    <x v="1"/>
    <n v="15"/>
    <n v="3"/>
    <n v="4"/>
    <n v="80"/>
    <n v="0"/>
    <n v="9"/>
    <n v="0"/>
    <n v="3"/>
    <x v="7"/>
    <m/>
    <n v="8"/>
    <n v="1"/>
    <n v="7"/>
  </r>
  <r>
    <n v="30"/>
    <x v="1"/>
    <x v="1"/>
    <n v="721"/>
    <x v="1"/>
    <n v="1"/>
    <n v="2"/>
    <x v="2"/>
    <n v="1"/>
    <n v="57"/>
    <n v="3"/>
    <x v="0"/>
    <n v="58"/>
    <n v="3"/>
    <n v="2"/>
    <x v="2"/>
    <n v="4"/>
    <x v="0"/>
    <n v="4011"/>
    <n v="10781"/>
    <n v="1"/>
    <s v="Y"/>
    <x v="1"/>
    <n v="23"/>
    <n v="4"/>
    <n v="4"/>
    <n v="80"/>
    <n v="0"/>
    <n v="12"/>
    <n v="2"/>
    <n v="3"/>
    <x v="12"/>
    <m/>
    <n v="8"/>
    <n v="3"/>
    <n v="7"/>
  </r>
  <r>
    <n v="41"/>
    <x v="0"/>
    <x v="0"/>
    <n v="1360"/>
    <x v="1"/>
    <n v="12"/>
    <n v="3"/>
    <x v="4"/>
    <n v="1"/>
    <n v="58"/>
    <n v="2"/>
    <x v="0"/>
    <n v="49"/>
    <n v="3"/>
    <n v="5"/>
    <x v="7"/>
    <n v="3"/>
    <x v="1"/>
    <n v="19545"/>
    <n v="16280"/>
    <n v="1"/>
    <s v="Y"/>
    <x v="1"/>
    <n v="12"/>
    <n v="3"/>
    <n v="4"/>
    <n v="80"/>
    <n v="0"/>
    <n v="23"/>
    <n v="0"/>
    <n v="3"/>
    <x v="14"/>
    <m/>
    <n v="15"/>
    <n v="15"/>
    <n v="8"/>
  </r>
  <r>
    <n v="34"/>
    <x v="1"/>
    <x v="2"/>
    <n v="1065"/>
    <x v="0"/>
    <n v="23"/>
    <n v="4"/>
    <x v="3"/>
    <n v="1"/>
    <n v="60"/>
    <n v="2"/>
    <x v="1"/>
    <n v="72"/>
    <n v="3"/>
    <n v="2"/>
    <x v="0"/>
    <n v="3"/>
    <x v="0"/>
    <n v="4568"/>
    <n v="10034"/>
    <n v="0"/>
    <s v="Y"/>
    <x v="1"/>
    <n v="20"/>
    <n v="4"/>
    <n v="3"/>
    <n v="80"/>
    <n v="0"/>
    <n v="10"/>
    <n v="2"/>
    <n v="3"/>
    <x v="7"/>
    <m/>
    <n v="5"/>
    <n v="8"/>
    <n v="7"/>
  </r>
  <r>
    <n v="37"/>
    <x v="1"/>
    <x v="0"/>
    <n v="408"/>
    <x v="1"/>
    <n v="19"/>
    <n v="2"/>
    <x v="0"/>
    <n v="1"/>
    <n v="61"/>
    <n v="2"/>
    <x v="1"/>
    <n v="73"/>
    <n v="3"/>
    <n v="1"/>
    <x v="1"/>
    <n v="2"/>
    <x v="1"/>
    <n v="3022"/>
    <n v="10227"/>
    <n v="4"/>
    <s v="Y"/>
    <x v="1"/>
    <n v="21"/>
    <n v="4"/>
    <n v="1"/>
    <n v="80"/>
    <n v="0"/>
    <n v="8"/>
    <n v="1"/>
    <n v="3"/>
    <x v="6"/>
    <m/>
    <n v="0"/>
    <n v="0"/>
    <n v="0"/>
  </r>
  <r>
    <n v="46"/>
    <x v="1"/>
    <x v="1"/>
    <n v="1211"/>
    <x v="0"/>
    <n v="5"/>
    <n v="4"/>
    <x v="3"/>
    <n v="1"/>
    <n v="62"/>
    <n v="1"/>
    <x v="1"/>
    <n v="98"/>
    <n v="3"/>
    <n v="2"/>
    <x v="0"/>
    <n v="4"/>
    <x v="0"/>
    <n v="5772"/>
    <n v="20445"/>
    <n v="4"/>
    <s v="Y"/>
    <x v="0"/>
    <n v="21"/>
    <n v="4"/>
    <n v="3"/>
    <n v="80"/>
    <n v="0"/>
    <n v="14"/>
    <n v="4"/>
    <n v="3"/>
    <x v="7"/>
    <m/>
    <n v="6"/>
    <n v="0"/>
    <n v="8"/>
  </r>
  <r>
    <n v="35"/>
    <x v="1"/>
    <x v="0"/>
    <n v="1229"/>
    <x v="1"/>
    <n v="8"/>
    <n v="1"/>
    <x v="0"/>
    <n v="1"/>
    <n v="63"/>
    <n v="4"/>
    <x v="1"/>
    <n v="36"/>
    <n v="4"/>
    <n v="1"/>
    <x v="2"/>
    <n v="4"/>
    <x v="1"/>
    <n v="2269"/>
    <n v="4892"/>
    <n v="1"/>
    <s v="Y"/>
    <x v="1"/>
    <n v="19"/>
    <n v="3"/>
    <n v="4"/>
    <n v="80"/>
    <n v="0"/>
    <n v="1"/>
    <n v="2"/>
    <n v="3"/>
    <x v="6"/>
    <m/>
    <n v="0"/>
    <n v="0"/>
    <n v="1"/>
  </r>
  <r>
    <n v="48"/>
    <x v="0"/>
    <x v="0"/>
    <n v="626"/>
    <x v="1"/>
    <n v="1"/>
    <n v="2"/>
    <x v="0"/>
    <n v="1"/>
    <n v="64"/>
    <n v="1"/>
    <x v="1"/>
    <n v="98"/>
    <n v="2"/>
    <n v="3"/>
    <x v="2"/>
    <n v="3"/>
    <x v="0"/>
    <n v="5381"/>
    <n v="19294"/>
    <n v="9"/>
    <s v="Y"/>
    <x v="0"/>
    <n v="13"/>
    <n v="3"/>
    <n v="4"/>
    <n v="80"/>
    <n v="0"/>
    <n v="23"/>
    <n v="2"/>
    <n v="3"/>
    <x v="6"/>
    <m/>
    <n v="0"/>
    <n v="0"/>
    <n v="0"/>
  </r>
  <r>
    <n v="28"/>
    <x v="0"/>
    <x v="0"/>
    <n v="1434"/>
    <x v="1"/>
    <n v="5"/>
    <n v="4"/>
    <x v="4"/>
    <n v="1"/>
    <n v="65"/>
    <n v="3"/>
    <x v="1"/>
    <n v="50"/>
    <n v="3"/>
    <n v="1"/>
    <x v="2"/>
    <n v="3"/>
    <x v="0"/>
    <n v="3441"/>
    <n v="11179"/>
    <n v="1"/>
    <s v="Y"/>
    <x v="0"/>
    <n v="13"/>
    <n v="3"/>
    <n v="3"/>
    <n v="80"/>
    <n v="0"/>
    <n v="2"/>
    <n v="3"/>
    <n v="2"/>
    <x v="4"/>
    <m/>
    <n v="2"/>
    <n v="2"/>
    <n v="2"/>
  </r>
  <r>
    <n v="44"/>
    <x v="1"/>
    <x v="0"/>
    <n v="1488"/>
    <x v="0"/>
    <n v="1"/>
    <n v="5"/>
    <x v="3"/>
    <n v="1"/>
    <n v="68"/>
    <n v="2"/>
    <x v="0"/>
    <n v="75"/>
    <n v="3"/>
    <n v="2"/>
    <x v="0"/>
    <n v="1"/>
    <x v="2"/>
    <n v="5454"/>
    <n v="4009"/>
    <n v="5"/>
    <s v="Y"/>
    <x v="0"/>
    <n v="21"/>
    <n v="4"/>
    <n v="3"/>
    <n v="80"/>
    <n v="1"/>
    <n v="9"/>
    <n v="2"/>
    <n v="2"/>
    <x v="9"/>
    <m/>
    <n v="3"/>
    <n v="1"/>
    <n v="3"/>
  </r>
  <r>
    <n v="35"/>
    <x v="1"/>
    <x v="2"/>
    <n v="1097"/>
    <x v="1"/>
    <n v="11"/>
    <n v="2"/>
    <x v="2"/>
    <n v="1"/>
    <n v="70"/>
    <n v="3"/>
    <x v="1"/>
    <n v="79"/>
    <n v="2"/>
    <n v="3"/>
    <x v="4"/>
    <n v="1"/>
    <x v="1"/>
    <n v="9884"/>
    <n v="8302"/>
    <n v="2"/>
    <s v="Y"/>
    <x v="0"/>
    <n v="13"/>
    <n v="3"/>
    <n v="3"/>
    <n v="80"/>
    <n v="1"/>
    <n v="10"/>
    <n v="3"/>
    <n v="3"/>
    <x v="9"/>
    <m/>
    <n v="0"/>
    <n v="2"/>
    <n v="3"/>
  </r>
  <r>
    <n v="26"/>
    <x v="1"/>
    <x v="0"/>
    <n v="1443"/>
    <x v="0"/>
    <n v="23"/>
    <n v="3"/>
    <x v="3"/>
    <n v="1"/>
    <n v="72"/>
    <n v="3"/>
    <x v="0"/>
    <n v="47"/>
    <n v="2"/>
    <n v="2"/>
    <x v="0"/>
    <n v="4"/>
    <x v="1"/>
    <n v="4157"/>
    <n v="21436"/>
    <n v="7"/>
    <s v="Y"/>
    <x v="0"/>
    <n v="19"/>
    <n v="3"/>
    <n v="3"/>
    <n v="80"/>
    <n v="1"/>
    <n v="5"/>
    <n v="2"/>
    <n v="2"/>
    <x v="4"/>
    <m/>
    <n v="2"/>
    <n v="0"/>
    <n v="0"/>
  </r>
  <r>
    <n v="33"/>
    <x v="1"/>
    <x v="1"/>
    <n v="515"/>
    <x v="1"/>
    <n v="1"/>
    <n v="2"/>
    <x v="0"/>
    <n v="1"/>
    <n v="73"/>
    <n v="1"/>
    <x v="0"/>
    <n v="98"/>
    <n v="3"/>
    <n v="3"/>
    <x v="7"/>
    <n v="4"/>
    <x v="0"/>
    <n v="13458"/>
    <n v="15146"/>
    <n v="1"/>
    <s v="Y"/>
    <x v="0"/>
    <n v="12"/>
    <n v="3"/>
    <n v="3"/>
    <n v="80"/>
    <n v="0"/>
    <n v="15"/>
    <n v="1"/>
    <n v="3"/>
    <x v="15"/>
    <m/>
    <n v="14"/>
    <n v="8"/>
    <n v="12"/>
  </r>
  <r>
    <n v="35"/>
    <x v="1"/>
    <x v="1"/>
    <n v="853"/>
    <x v="0"/>
    <n v="18"/>
    <n v="5"/>
    <x v="0"/>
    <n v="1"/>
    <n v="74"/>
    <n v="2"/>
    <x v="1"/>
    <n v="71"/>
    <n v="3"/>
    <n v="3"/>
    <x v="0"/>
    <n v="1"/>
    <x v="1"/>
    <n v="9069"/>
    <n v="11031"/>
    <n v="1"/>
    <s v="Y"/>
    <x v="1"/>
    <n v="22"/>
    <n v="4"/>
    <n v="4"/>
    <n v="80"/>
    <n v="1"/>
    <n v="9"/>
    <n v="3"/>
    <n v="2"/>
    <x v="7"/>
    <m/>
    <n v="8"/>
    <n v="1"/>
    <n v="8"/>
  </r>
  <r>
    <n v="35"/>
    <x v="1"/>
    <x v="0"/>
    <n v="1142"/>
    <x v="1"/>
    <n v="23"/>
    <n v="4"/>
    <x v="2"/>
    <n v="1"/>
    <n v="75"/>
    <n v="3"/>
    <x v="0"/>
    <n v="30"/>
    <n v="3"/>
    <n v="1"/>
    <x v="2"/>
    <n v="1"/>
    <x v="1"/>
    <n v="4014"/>
    <n v="16002"/>
    <n v="3"/>
    <s v="Y"/>
    <x v="0"/>
    <n v="15"/>
    <n v="3"/>
    <n v="3"/>
    <n v="80"/>
    <n v="1"/>
    <n v="4"/>
    <n v="3"/>
    <n v="3"/>
    <x v="4"/>
    <m/>
    <n v="2"/>
    <n v="2"/>
    <n v="2"/>
  </r>
  <r>
    <n v="31"/>
    <x v="1"/>
    <x v="0"/>
    <n v="655"/>
    <x v="1"/>
    <n v="7"/>
    <n v="4"/>
    <x v="0"/>
    <n v="1"/>
    <n v="76"/>
    <n v="4"/>
    <x v="1"/>
    <n v="48"/>
    <n v="3"/>
    <n v="2"/>
    <x v="2"/>
    <n v="4"/>
    <x v="2"/>
    <n v="5915"/>
    <n v="9528"/>
    <n v="3"/>
    <s v="Y"/>
    <x v="1"/>
    <n v="22"/>
    <n v="4"/>
    <n v="4"/>
    <n v="80"/>
    <n v="1"/>
    <n v="10"/>
    <n v="3"/>
    <n v="2"/>
    <x v="5"/>
    <m/>
    <n v="7"/>
    <n v="1"/>
    <n v="7"/>
  </r>
  <r>
    <n v="37"/>
    <x v="1"/>
    <x v="0"/>
    <n v="1115"/>
    <x v="1"/>
    <n v="1"/>
    <n v="4"/>
    <x v="0"/>
    <n v="1"/>
    <n v="77"/>
    <n v="1"/>
    <x v="1"/>
    <n v="51"/>
    <n v="2"/>
    <n v="2"/>
    <x v="3"/>
    <n v="3"/>
    <x v="2"/>
    <n v="5993"/>
    <n v="2689"/>
    <n v="1"/>
    <s v="Y"/>
    <x v="1"/>
    <n v="18"/>
    <n v="3"/>
    <n v="3"/>
    <n v="80"/>
    <n v="1"/>
    <n v="7"/>
    <n v="2"/>
    <n v="4"/>
    <x v="5"/>
    <m/>
    <n v="5"/>
    <n v="0"/>
    <n v="7"/>
  </r>
  <r>
    <n v="32"/>
    <x v="1"/>
    <x v="0"/>
    <n v="427"/>
    <x v="1"/>
    <n v="1"/>
    <n v="3"/>
    <x v="2"/>
    <n v="1"/>
    <n v="78"/>
    <n v="1"/>
    <x v="1"/>
    <n v="33"/>
    <n v="3"/>
    <n v="2"/>
    <x v="3"/>
    <n v="4"/>
    <x v="1"/>
    <n v="6162"/>
    <n v="10877"/>
    <n v="1"/>
    <s v="Y"/>
    <x v="0"/>
    <n v="22"/>
    <n v="4"/>
    <n v="2"/>
    <n v="80"/>
    <n v="1"/>
    <n v="9"/>
    <n v="3"/>
    <n v="3"/>
    <x v="7"/>
    <m/>
    <n v="8"/>
    <n v="7"/>
    <n v="8"/>
  </r>
  <r>
    <n v="38"/>
    <x v="1"/>
    <x v="1"/>
    <n v="653"/>
    <x v="1"/>
    <n v="29"/>
    <n v="5"/>
    <x v="0"/>
    <n v="1"/>
    <n v="79"/>
    <n v="4"/>
    <x v="0"/>
    <n v="50"/>
    <n v="3"/>
    <n v="2"/>
    <x v="2"/>
    <n v="4"/>
    <x v="0"/>
    <n v="2406"/>
    <n v="5456"/>
    <n v="1"/>
    <s v="Y"/>
    <x v="1"/>
    <n v="11"/>
    <n v="3"/>
    <n v="4"/>
    <n v="80"/>
    <n v="0"/>
    <n v="10"/>
    <n v="2"/>
    <n v="3"/>
    <x v="1"/>
    <m/>
    <n v="3"/>
    <n v="9"/>
    <n v="9"/>
  </r>
  <r>
    <n v="50"/>
    <x v="1"/>
    <x v="0"/>
    <n v="989"/>
    <x v="1"/>
    <n v="7"/>
    <n v="2"/>
    <x v="2"/>
    <n v="1"/>
    <n v="80"/>
    <n v="2"/>
    <x v="0"/>
    <n v="43"/>
    <n v="2"/>
    <n v="5"/>
    <x v="7"/>
    <n v="3"/>
    <x v="2"/>
    <n v="18740"/>
    <n v="16701"/>
    <n v="5"/>
    <s v="Y"/>
    <x v="0"/>
    <n v="12"/>
    <n v="3"/>
    <n v="4"/>
    <n v="80"/>
    <n v="1"/>
    <n v="29"/>
    <n v="2"/>
    <n v="2"/>
    <x v="16"/>
    <m/>
    <n v="3"/>
    <n v="13"/>
    <n v="8"/>
  </r>
  <r>
    <n v="59"/>
    <x v="1"/>
    <x v="0"/>
    <n v="1435"/>
    <x v="0"/>
    <n v="25"/>
    <n v="3"/>
    <x v="0"/>
    <n v="1"/>
    <n v="81"/>
    <n v="1"/>
    <x v="0"/>
    <n v="99"/>
    <n v="3"/>
    <n v="3"/>
    <x v="0"/>
    <n v="1"/>
    <x v="0"/>
    <n v="7637"/>
    <n v="2354"/>
    <n v="7"/>
    <s v="Y"/>
    <x v="1"/>
    <n v="11"/>
    <n v="3"/>
    <n v="4"/>
    <n v="80"/>
    <n v="0"/>
    <n v="28"/>
    <n v="3"/>
    <n v="2"/>
    <x v="17"/>
    <m/>
    <n v="16"/>
    <n v="7"/>
    <n v="9"/>
  </r>
  <r>
    <n v="36"/>
    <x v="1"/>
    <x v="0"/>
    <n v="1223"/>
    <x v="1"/>
    <n v="8"/>
    <n v="3"/>
    <x v="4"/>
    <n v="1"/>
    <n v="83"/>
    <n v="3"/>
    <x v="0"/>
    <n v="59"/>
    <n v="3"/>
    <n v="3"/>
    <x v="4"/>
    <n v="3"/>
    <x v="2"/>
    <n v="10096"/>
    <n v="8202"/>
    <n v="1"/>
    <s v="Y"/>
    <x v="1"/>
    <n v="13"/>
    <n v="3"/>
    <n v="2"/>
    <n v="80"/>
    <n v="3"/>
    <n v="17"/>
    <n v="2"/>
    <n v="3"/>
    <x v="18"/>
    <m/>
    <n v="14"/>
    <n v="12"/>
    <n v="8"/>
  </r>
  <r>
    <n v="55"/>
    <x v="1"/>
    <x v="0"/>
    <n v="836"/>
    <x v="1"/>
    <n v="8"/>
    <n v="3"/>
    <x v="2"/>
    <n v="1"/>
    <n v="84"/>
    <n v="4"/>
    <x v="0"/>
    <n v="33"/>
    <n v="3"/>
    <n v="4"/>
    <x v="5"/>
    <n v="3"/>
    <x v="2"/>
    <n v="14756"/>
    <n v="19730"/>
    <n v="2"/>
    <s v="Y"/>
    <x v="0"/>
    <n v="14"/>
    <n v="3"/>
    <n v="3"/>
    <n v="80"/>
    <n v="3"/>
    <n v="21"/>
    <n v="2"/>
    <n v="3"/>
    <x v="8"/>
    <m/>
    <n v="0"/>
    <n v="0"/>
    <n v="2"/>
  </r>
  <r>
    <n v="36"/>
    <x v="1"/>
    <x v="1"/>
    <n v="1195"/>
    <x v="1"/>
    <n v="11"/>
    <n v="3"/>
    <x v="0"/>
    <n v="1"/>
    <n v="85"/>
    <n v="2"/>
    <x v="1"/>
    <n v="95"/>
    <n v="2"/>
    <n v="2"/>
    <x v="3"/>
    <n v="2"/>
    <x v="0"/>
    <n v="6499"/>
    <n v="22656"/>
    <n v="1"/>
    <s v="Y"/>
    <x v="1"/>
    <n v="13"/>
    <n v="3"/>
    <n v="3"/>
    <n v="80"/>
    <n v="0"/>
    <n v="6"/>
    <n v="3"/>
    <n v="3"/>
    <x v="0"/>
    <m/>
    <n v="5"/>
    <n v="0"/>
    <n v="3"/>
  </r>
  <r>
    <n v="45"/>
    <x v="1"/>
    <x v="0"/>
    <n v="1339"/>
    <x v="1"/>
    <n v="7"/>
    <n v="3"/>
    <x v="0"/>
    <n v="1"/>
    <n v="86"/>
    <n v="2"/>
    <x v="1"/>
    <n v="59"/>
    <n v="3"/>
    <n v="3"/>
    <x v="1"/>
    <n v="1"/>
    <x v="2"/>
    <n v="9724"/>
    <n v="18787"/>
    <n v="2"/>
    <s v="Y"/>
    <x v="1"/>
    <n v="17"/>
    <n v="3"/>
    <n v="3"/>
    <n v="80"/>
    <n v="1"/>
    <n v="25"/>
    <n v="2"/>
    <n v="3"/>
    <x v="6"/>
    <m/>
    <n v="0"/>
    <n v="0"/>
    <n v="0"/>
  </r>
  <r>
    <n v="35"/>
    <x v="1"/>
    <x v="1"/>
    <n v="664"/>
    <x v="1"/>
    <n v="1"/>
    <n v="3"/>
    <x v="2"/>
    <n v="1"/>
    <n v="88"/>
    <n v="2"/>
    <x v="1"/>
    <n v="79"/>
    <n v="3"/>
    <n v="1"/>
    <x v="1"/>
    <n v="1"/>
    <x v="1"/>
    <n v="2194"/>
    <n v="5868"/>
    <n v="4"/>
    <s v="Y"/>
    <x v="1"/>
    <n v="13"/>
    <n v="3"/>
    <n v="4"/>
    <n v="80"/>
    <n v="1"/>
    <n v="5"/>
    <n v="2"/>
    <n v="2"/>
    <x v="11"/>
    <m/>
    <n v="2"/>
    <n v="1"/>
    <n v="2"/>
  </r>
  <r>
    <n v="36"/>
    <x v="0"/>
    <x v="0"/>
    <n v="318"/>
    <x v="1"/>
    <n v="9"/>
    <n v="3"/>
    <x v="2"/>
    <n v="1"/>
    <n v="90"/>
    <n v="4"/>
    <x v="1"/>
    <n v="79"/>
    <n v="2"/>
    <n v="1"/>
    <x v="1"/>
    <n v="3"/>
    <x v="1"/>
    <n v="3388"/>
    <n v="21777"/>
    <n v="0"/>
    <s v="Y"/>
    <x v="0"/>
    <n v="17"/>
    <n v="3"/>
    <n v="1"/>
    <n v="80"/>
    <n v="1"/>
    <n v="2"/>
    <n v="0"/>
    <n v="2"/>
    <x v="6"/>
    <m/>
    <n v="0"/>
    <n v="0"/>
    <n v="0"/>
  </r>
  <r>
    <n v="59"/>
    <x v="1"/>
    <x v="1"/>
    <n v="1225"/>
    <x v="0"/>
    <n v="1"/>
    <n v="1"/>
    <x v="0"/>
    <n v="1"/>
    <n v="91"/>
    <n v="1"/>
    <x v="0"/>
    <n v="57"/>
    <n v="2"/>
    <n v="2"/>
    <x v="0"/>
    <n v="3"/>
    <x v="0"/>
    <n v="5473"/>
    <n v="24668"/>
    <n v="7"/>
    <s v="Y"/>
    <x v="1"/>
    <n v="11"/>
    <n v="3"/>
    <n v="4"/>
    <n v="80"/>
    <n v="0"/>
    <n v="20"/>
    <n v="2"/>
    <n v="2"/>
    <x v="9"/>
    <m/>
    <n v="3"/>
    <n v="1"/>
    <n v="3"/>
  </r>
  <r>
    <n v="29"/>
    <x v="1"/>
    <x v="0"/>
    <n v="1328"/>
    <x v="1"/>
    <n v="2"/>
    <n v="3"/>
    <x v="0"/>
    <n v="1"/>
    <n v="94"/>
    <n v="3"/>
    <x v="1"/>
    <n v="76"/>
    <n v="3"/>
    <n v="1"/>
    <x v="1"/>
    <n v="2"/>
    <x v="1"/>
    <n v="2703"/>
    <n v="4956"/>
    <n v="0"/>
    <s v="Y"/>
    <x v="1"/>
    <n v="23"/>
    <n v="4"/>
    <n v="4"/>
    <n v="80"/>
    <n v="1"/>
    <n v="6"/>
    <n v="3"/>
    <n v="3"/>
    <x v="8"/>
    <m/>
    <n v="4"/>
    <n v="0"/>
    <n v="4"/>
  </r>
  <r>
    <n v="31"/>
    <x v="1"/>
    <x v="0"/>
    <n v="1082"/>
    <x v="1"/>
    <n v="1"/>
    <n v="4"/>
    <x v="2"/>
    <n v="1"/>
    <n v="95"/>
    <n v="3"/>
    <x v="1"/>
    <n v="87"/>
    <n v="3"/>
    <n v="1"/>
    <x v="1"/>
    <n v="2"/>
    <x v="0"/>
    <n v="2501"/>
    <n v="18775"/>
    <n v="1"/>
    <s v="Y"/>
    <x v="1"/>
    <n v="17"/>
    <n v="3"/>
    <n v="2"/>
    <n v="80"/>
    <n v="0"/>
    <n v="1"/>
    <n v="4"/>
    <n v="3"/>
    <x v="6"/>
    <m/>
    <n v="1"/>
    <n v="1"/>
    <n v="0"/>
  </r>
  <r>
    <n v="32"/>
    <x v="1"/>
    <x v="0"/>
    <n v="548"/>
    <x v="1"/>
    <n v="1"/>
    <n v="3"/>
    <x v="0"/>
    <n v="1"/>
    <n v="96"/>
    <n v="2"/>
    <x v="1"/>
    <n v="66"/>
    <n v="3"/>
    <n v="2"/>
    <x v="1"/>
    <n v="2"/>
    <x v="1"/>
    <n v="6220"/>
    <n v="7346"/>
    <n v="1"/>
    <s v="Y"/>
    <x v="1"/>
    <n v="17"/>
    <n v="3"/>
    <n v="2"/>
    <n v="80"/>
    <n v="2"/>
    <n v="10"/>
    <n v="3"/>
    <n v="3"/>
    <x v="1"/>
    <m/>
    <n v="4"/>
    <n v="0"/>
    <n v="9"/>
  </r>
  <r>
    <n v="36"/>
    <x v="1"/>
    <x v="0"/>
    <n v="132"/>
    <x v="1"/>
    <n v="6"/>
    <n v="3"/>
    <x v="0"/>
    <n v="1"/>
    <n v="97"/>
    <n v="2"/>
    <x v="0"/>
    <n v="55"/>
    <n v="4"/>
    <n v="1"/>
    <x v="2"/>
    <n v="4"/>
    <x v="1"/>
    <n v="3038"/>
    <n v="22002"/>
    <n v="3"/>
    <s v="Y"/>
    <x v="1"/>
    <n v="12"/>
    <n v="3"/>
    <n v="2"/>
    <n v="80"/>
    <n v="0"/>
    <n v="5"/>
    <n v="3"/>
    <n v="3"/>
    <x v="6"/>
    <m/>
    <n v="0"/>
    <n v="0"/>
    <n v="0"/>
  </r>
  <r>
    <n v="31"/>
    <x v="1"/>
    <x v="0"/>
    <n v="746"/>
    <x v="1"/>
    <n v="8"/>
    <n v="4"/>
    <x v="0"/>
    <n v="1"/>
    <n v="98"/>
    <n v="3"/>
    <x v="0"/>
    <n v="61"/>
    <n v="3"/>
    <n v="2"/>
    <x v="3"/>
    <n v="4"/>
    <x v="0"/>
    <n v="4424"/>
    <n v="20682"/>
    <n v="1"/>
    <s v="Y"/>
    <x v="1"/>
    <n v="23"/>
    <n v="4"/>
    <n v="4"/>
    <n v="80"/>
    <n v="0"/>
    <n v="11"/>
    <n v="2"/>
    <n v="3"/>
    <x v="19"/>
    <m/>
    <n v="7"/>
    <n v="1"/>
    <n v="8"/>
  </r>
  <r>
    <n v="35"/>
    <x v="1"/>
    <x v="0"/>
    <n v="776"/>
    <x v="0"/>
    <n v="1"/>
    <n v="4"/>
    <x v="3"/>
    <n v="1"/>
    <n v="100"/>
    <n v="3"/>
    <x v="1"/>
    <n v="32"/>
    <n v="2"/>
    <n v="2"/>
    <x v="0"/>
    <n v="1"/>
    <x v="0"/>
    <n v="4312"/>
    <n v="23016"/>
    <n v="0"/>
    <s v="Y"/>
    <x v="1"/>
    <n v="14"/>
    <n v="3"/>
    <n v="2"/>
    <n v="80"/>
    <n v="0"/>
    <n v="16"/>
    <n v="2"/>
    <n v="3"/>
    <x v="15"/>
    <m/>
    <n v="13"/>
    <n v="2"/>
    <n v="8"/>
  </r>
  <r>
    <n v="45"/>
    <x v="1"/>
    <x v="0"/>
    <n v="193"/>
    <x v="1"/>
    <n v="6"/>
    <n v="4"/>
    <x v="1"/>
    <n v="1"/>
    <n v="101"/>
    <n v="4"/>
    <x v="1"/>
    <n v="52"/>
    <n v="3"/>
    <n v="3"/>
    <x v="7"/>
    <n v="1"/>
    <x v="1"/>
    <n v="13245"/>
    <n v="15067"/>
    <n v="4"/>
    <s v="Y"/>
    <x v="0"/>
    <n v="14"/>
    <n v="3"/>
    <n v="2"/>
    <n v="80"/>
    <n v="0"/>
    <n v="17"/>
    <n v="3"/>
    <n v="4"/>
    <x v="2"/>
    <m/>
    <n v="0"/>
    <n v="0"/>
    <n v="0"/>
  </r>
  <r>
    <n v="37"/>
    <x v="1"/>
    <x v="0"/>
    <n v="397"/>
    <x v="1"/>
    <n v="7"/>
    <n v="4"/>
    <x v="2"/>
    <n v="1"/>
    <n v="102"/>
    <n v="1"/>
    <x v="1"/>
    <n v="30"/>
    <n v="3"/>
    <n v="3"/>
    <x v="7"/>
    <n v="3"/>
    <x v="0"/>
    <n v="13664"/>
    <n v="25258"/>
    <n v="4"/>
    <s v="Y"/>
    <x v="1"/>
    <n v="13"/>
    <n v="3"/>
    <n v="1"/>
    <n v="80"/>
    <n v="0"/>
    <n v="16"/>
    <n v="3"/>
    <n v="4"/>
    <x v="8"/>
    <m/>
    <n v="2"/>
    <n v="0"/>
    <n v="2"/>
  </r>
  <r>
    <n v="46"/>
    <x v="1"/>
    <x v="0"/>
    <n v="945"/>
    <x v="2"/>
    <n v="5"/>
    <n v="2"/>
    <x v="2"/>
    <n v="1"/>
    <n v="103"/>
    <n v="2"/>
    <x v="1"/>
    <n v="80"/>
    <n v="3"/>
    <n v="2"/>
    <x v="8"/>
    <n v="2"/>
    <x v="2"/>
    <n v="5021"/>
    <n v="10425"/>
    <n v="8"/>
    <s v="Y"/>
    <x v="0"/>
    <n v="22"/>
    <n v="4"/>
    <n v="4"/>
    <n v="80"/>
    <n v="1"/>
    <n v="16"/>
    <n v="2"/>
    <n v="3"/>
    <x v="9"/>
    <m/>
    <n v="2"/>
    <n v="0"/>
    <n v="2"/>
  </r>
  <r>
    <n v="30"/>
    <x v="1"/>
    <x v="0"/>
    <n v="852"/>
    <x v="1"/>
    <n v="1"/>
    <n v="1"/>
    <x v="0"/>
    <n v="1"/>
    <n v="104"/>
    <n v="4"/>
    <x v="1"/>
    <n v="55"/>
    <n v="2"/>
    <n v="2"/>
    <x v="2"/>
    <n v="4"/>
    <x v="1"/>
    <n v="5126"/>
    <n v="15998"/>
    <n v="1"/>
    <s v="Y"/>
    <x v="0"/>
    <n v="12"/>
    <n v="3"/>
    <n v="3"/>
    <n v="80"/>
    <n v="2"/>
    <n v="10"/>
    <n v="1"/>
    <n v="2"/>
    <x v="1"/>
    <m/>
    <n v="8"/>
    <n v="3"/>
    <n v="0"/>
  </r>
  <r>
    <n v="35"/>
    <x v="1"/>
    <x v="0"/>
    <n v="1214"/>
    <x v="1"/>
    <n v="1"/>
    <n v="3"/>
    <x v="2"/>
    <n v="1"/>
    <n v="105"/>
    <n v="2"/>
    <x v="1"/>
    <n v="30"/>
    <n v="2"/>
    <n v="1"/>
    <x v="1"/>
    <n v="3"/>
    <x v="0"/>
    <n v="2859"/>
    <n v="26278"/>
    <n v="1"/>
    <s v="Y"/>
    <x v="1"/>
    <n v="18"/>
    <n v="3"/>
    <n v="1"/>
    <n v="80"/>
    <n v="0"/>
    <n v="6"/>
    <n v="3"/>
    <n v="3"/>
    <x v="0"/>
    <m/>
    <n v="4"/>
    <n v="0"/>
    <n v="4"/>
  </r>
  <r>
    <n v="55"/>
    <x v="1"/>
    <x v="0"/>
    <n v="111"/>
    <x v="0"/>
    <n v="1"/>
    <n v="2"/>
    <x v="0"/>
    <n v="1"/>
    <n v="106"/>
    <n v="1"/>
    <x v="1"/>
    <n v="70"/>
    <n v="3"/>
    <n v="3"/>
    <x v="0"/>
    <n v="4"/>
    <x v="1"/>
    <n v="10239"/>
    <n v="18092"/>
    <n v="3"/>
    <s v="Y"/>
    <x v="1"/>
    <n v="14"/>
    <n v="3"/>
    <n v="4"/>
    <n v="80"/>
    <n v="1"/>
    <n v="24"/>
    <n v="4"/>
    <n v="3"/>
    <x v="6"/>
    <m/>
    <n v="0"/>
    <n v="1"/>
    <n v="0"/>
  </r>
  <r>
    <n v="38"/>
    <x v="1"/>
    <x v="2"/>
    <n v="573"/>
    <x v="1"/>
    <n v="6"/>
    <n v="3"/>
    <x v="2"/>
    <n v="1"/>
    <n v="107"/>
    <n v="2"/>
    <x v="0"/>
    <n v="79"/>
    <n v="1"/>
    <n v="2"/>
    <x v="1"/>
    <n v="4"/>
    <x v="2"/>
    <n v="5329"/>
    <n v="15717"/>
    <n v="7"/>
    <s v="Y"/>
    <x v="0"/>
    <n v="12"/>
    <n v="3"/>
    <n v="4"/>
    <n v="80"/>
    <n v="3"/>
    <n v="17"/>
    <n v="3"/>
    <n v="3"/>
    <x v="20"/>
    <m/>
    <n v="11"/>
    <n v="1"/>
    <n v="9"/>
  </r>
  <r>
    <n v="34"/>
    <x v="1"/>
    <x v="0"/>
    <n v="1153"/>
    <x v="1"/>
    <n v="1"/>
    <n v="2"/>
    <x v="2"/>
    <n v="1"/>
    <n v="110"/>
    <n v="1"/>
    <x v="1"/>
    <n v="94"/>
    <n v="3"/>
    <n v="2"/>
    <x v="3"/>
    <n v="2"/>
    <x v="1"/>
    <n v="4325"/>
    <n v="17736"/>
    <n v="1"/>
    <s v="Y"/>
    <x v="1"/>
    <n v="15"/>
    <n v="3"/>
    <n v="3"/>
    <n v="80"/>
    <n v="0"/>
    <n v="5"/>
    <n v="2"/>
    <n v="3"/>
    <x v="8"/>
    <m/>
    <n v="2"/>
    <n v="1"/>
    <n v="3"/>
  </r>
  <r>
    <n v="56"/>
    <x v="1"/>
    <x v="0"/>
    <n v="1400"/>
    <x v="1"/>
    <n v="7"/>
    <n v="3"/>
    <x v="0"/>
    <n v="1"/>
    <n v="112"/>
    <n v="4"/>
    <x v="1"/>
    <n v="49"/>
    <n v="1"/>
    <n v="3"/>
    <x v="3"/>
    <n v="4"/>
    <x v="0"/>
    <n v="7260"/>
    <n v="21698"/>
    <n v="4"/>
    <s v="Y"/>
    <x v="1"/>
    <n v="11"/>
    <n v="3"/>
    <n v="1"/>
    <n v="80"/>
    <n v="0"/>
    <n v="37"/>
    <n v="3"/>
    <n v="2"/>
    <x v="0"/>
    <m/>
    <n v="4"/>
    <n v="0"/>
    <n v="2"/>
  </r>
  <r>
    <n v="23"/>
    <x v="1"/>
    <x v="0"/>
    <n v="541"/>
    <x v="0"/>
    <n v="2"/>
    <n v="1"/>
    <x v="4"/>
    <n v="1"/>
    <n v="113"/>
    <n v="3"/>
    <x v="1"/>
    <n v="62"/>
    <n v="3"/>
    <n v="1"/>
    <x v="6"/>
    <n v="1"/>
    <x v="2"/>
    <n v="2322"/>
    <n v="9518"/>
    <n v="3"/>
    <s v="Y"/>
    <x v="1"/>
    <n v="13"/>
    <n v="3"/>
    <n v="3"/>
    <n v="80"/>
    <n v="1"/>
    <n v="3"/>
    <n v="3"/>
    <n v="3"/>
    <x v="2"/>
    <m/>
    <n v="0"/>
    <n v="0"/>
    <n v="0"/>
  </r>
  <r>
    <n v="51"/>
    <x v="1"/>
    <x v="0"/>
    <n v="432"/>
    <x v="1"/>
    <n v="9"/>
    <n v="4"/>
    <x v="0"/>
    <n v="1"/>
    <n v="116"/>
    <n v="4"/>
    <x v="1"/>
    <n v="96"/>
    <n v="3"/>
    <n v="1"/>
    <x v="2"/>
    <n v="4"/>
    <x v="1"/>
    <n v="2075"/>
    <n v="18725"/>
    <n v="3"/>
    <s v="Y"/>
    <x v="1"/>
    <n v="23"/>
    <n v="4"/>
    <n v="2"/>
    <n v="80"/>
    <n v="2"/>
    <n v="10"/>
    <n v="4"/>
    <n v="3"/>
    <x v="9"/>
    <m/>
    <n v="2"/>
    <n v="0"/>
    <n v="3"/>
  </r>
  <r>
    <n v="30"/>
    <x v="1"/>
    <x v="0"/>
    <n v="288"/>
    <x v="1"/>
    <n v="2"/>
    <n v="3"/>
    <x v="0"/>
    <n v="1"/>
    <n v="117"/>
    <n v="3"/>
    <x v="1"/>
    <n v="99"/>
    <n v="2"/>
    <n v="2"/>
    <x v="4"/>
    <n v="4"/>
    <x v="1"/>
    <n v="4152"/>
    <n v="15830"/>
    <n v="1"/>
    <s v="Y"/>
    <x v="1"/>
    <n v="19"/>
    <n v="3"/>
    <n v="1"/>
    <n v="80"/>
    <n v="3"/>
    <n v="11"/>
    <n v="3"/>
    <n v="3"/>
    <x v="19"/>
    <m/>
    <n v="10"/>
    <n v="10"/>
    <n v="8"/>
  </r>
  <r>
    <n v="46"/>
    <x v="0"/>
    <x v="0"/>
    <n v="669"/>
    <x v="0"/>
    <n v="9"/>
    <n v="2"/>
    <x v="2"/>
    <n v="1"/>
    <n v="118"/>
    <n v="3"/>
    <x v="1"/>
    <n v="64"/>
    <n v="2"/>
    <n v="3"/>
    <x v="0"/>
    <n v="4"/>
    <x v="0"/>
    <n v="9619"/>
    <n v="13596"/>
    <n v="1"/>
    <s v="Y"/>
    <x v="1"/>
    <n v="16"/>
    <n v="3"/>
    <n v="4"/>
    <n v="80"/>
    <n v="0"/>
    <n v="9"/>
    <n v="3"/>
    <n v="3"/>
    <x v="7"/>
    <m/>
    <n v="8"/>
    <n v="4"/>
    <n v="7"/>
  </r>
  <r>
    <n v="40"/>
    <x v="1"/>
    <x v="1"/>
    <n v="530"/>
    <x v="1"/>
    <n v="1"/>
    <n v="4"/>
    <x v="0"/>
    <n v="1"/>
    <n v="119"/>
    <n v="3"/>
    <x v="1"/>
    <n v="78"/>
    <n v="2"/>
    <n v="4"/>
    <x v="4"/>
    <n v="2"/>
    <x v="1"/>
    <n v="13503"/>
    <n v="14115"/>
    <n v="1"/>
    <s v="Y"/>
    <x v="1"/>
    <n v="22"/>
    <n v="4"/>
    <n v="4"/>
    <n v="80"/>
    <n v="1"/>
    <n v="22"/>
    <n v="3"/>
    <n v="2"/>
    <x v="14"/>
    <m/>
    <n v="3"/>
    <n v="11"/>
    <n v="11"/>
  </r>
  <r>
    <n v="51"/>
    <x v="1"/>
    <x v="0"/>
    <n v="632"/>
    <x v="0"/>
    <n v="21"/>
    <n v="4"/>
    <x v="3"/>
    <n v="1"/>
    <n v="120"/>
    <n v="3"/>
    <x v="1"/>
    <n v="71"/>
    <n v="3"/>
    <n v="2"/>
    <x v="0"/>
    <n v="4"/>
    <x v="0"/>
    <n v="5441"/>
    <n v="8423"/>
    <n v="0"/>
    <s v="Y"/>
    <x v="0"/>
    <n v="22"/>
    <n v="4"/>
    <n v="4"/>
    <n v="80"/>
    <n v="0"/>
    <n v="11"/>
    <n v="2"/>
    <n v="1"/>
    <x v="1"/>
    <m/>
    <n v="7"/>
    <n v="1"/>
    <n v="0"/>
  </r>
  <r>
    <n v="30"/>
    <x v="1"/>
    <x v="0"/>
    <n v="1334"/>
    <x v="0"/>
    <n v="4"/>
    <n v="2"/>
    <x v="2"/>
    <n v="1"/>
    <n v="121"/>
    <n v="3"/>
    <x v="0"/>
    <n v="63"/>
    <n v="2"/>
    <n v="2"/>
    <x v="0"/>
    <n v="2"/>
    <x v="2"/>
    <n v="5209"/>
    <n v="19760"/>
    <n v="1"/>
    <s v="Y"/>
    <x v="0"/>
    <n v="12"/>
    <n v="3"/>
    <n v="2"/>
    <n v="80"/>
    <n v="3"/>
    <n v="11"/>
    <n v="4"/>
    <n v="2"/>
    <x v="19"/>
    <m/>
    <n v="8"/>
    <n v="2"/>
    <n v="7"/>
  </r>
  <r>
    <n v="46"/>
    <x v="1"/>
    <x v="1"/>
    <n v="638"/>
    <x v="1"/>
    <n v="1"/>
    <n v="3"/>
    <x v="2"/>
    <n v="1"/>
    <n v="124"/>
    <n v="3"/>
    <x v="1"/>
    <n v="40"/>
    <n v="2"/>
    <n v="3"/>
    <x v="4"/>
    <n v="1"/>
    <x v="1"/>
    <n v="10673"/>
    <n v="3142"/>
    <n v="2"/>
    <s v="Y"/>
    <x v="0"/>
    <n v="13"/>
    <n v="3"/>
    <n v="3"/>
    <n v="80"/>
    <n v="1"/>
    <n v="21"/>
    <n v="5"/>
    <n v="2"/>
    <x v="1"/>
    <m/>
    <n v="9"/>
    <n v="9"/>
    <n v="5"/>
  </r>
  <r>
    <n v="32"/>
    <x v="1"/>
    <x v="0"/>
    <n v="1093"/>
    <x v="0"/>
    <n v="6"/>
    <n v="4"/>
    <x v="2"/>
    <n v="1"/>
    <n v="125"/>
    <n v="2"/>
    <x v="1"/>
    <n v="87"/>
    <n v="3"/>
    <n v="2"/>
    <x v="0"/>
    <n v="3"/>
    <x v="0"/>
    <n v="5010"/>
    <n v="24301"/>
    <n v="1"/>
    <s v="Y"/>
    <x v="1"/>
    <n v="16"/>
    <n v="3"/>
    <n v="1"/>
    <n v="80"/>
    <n v="0"/>
    <n v="12"/>
    <n v="0"/>
    <n v="3"/>
    <x v="19"/>
    <m/>
    <n v="8"/>
    <n v="5"/>
    <n v="7"/>
  </r>
  <r>
    <n v="54"/>
    <x v="1"/>
    <x v="0"/>
    <n v="1217"/>
    <x v="1"/>
    <n v="2"/>
    <n v="4"/>
    <x v="4"/>
    <n v="1"/>
    <n v="126"/>
    <n v="1"/>
    <x v="0"/>
    <n v="60"/>
    <n v="3"/>
    <n v="3"/>
    <x v="7"/>
    <n v="3"/>
    <x v="1"/>
    <n v="13549"/>
    <n v="24001"/>
    <n v="9"/>
    <s v="Y"/>
    <x v="1"/>
    <n v="12"/>
    <n v="3"/>
    <n v="1"/>
    <n v="80"/>
    <n v="1"/>
    <n v="16"/>
    <n v="5"/>
    <n v="1"/>
    <x v="9"/>
    <m/>
    <n v="3"/>
    <n v="0"/>
    <n v="3"/>
  </r>
  <r>
    <n v="24"/>
    <x v="1"/>
    <x v="0"/>
    <n v="1353"/>
    <x v="0"/>
    <n v="3"/>
    <n v="2"/>
    <x v="1"/>
    <n v="1"/>
    <n v="128"/>
    <n v="1"/>
    <x v="0"/>
    <n v="33"/>
    <n v="3"/>
    <n v="2"/>
    <x v="0"/>
    <n v="3"/>
    <x v="1"/>
    <n v="4999"/>
    <n v="17519"/>
    <n v="0"/>
    <s v="Y"/>
    <x v="1"/>
    <n v="21"/>
    <n v="4"/>
    <n v="1"/>
    <n v="80"/>
    <n v="1"/>
    <n v="4"/>
    <n v="2"/>
    <n v="2"/>
    <x v="11"/>
    <m/>
    <n v="2"/>
    <n v="0"/>
    <n v="2"/>
  </r>
  <r>
    <n v="28"/>
    <x v="1"/>
    <x v="2"/>
    <n v="120"/>
    <x v="0"/>
    <n v="4"/>
    <n v="3"/>
    <x v="2"/>
    <n v="1"/>
    <n v="129"/>
    <n v="2"/>
    <x v="1"/>
    <n v="43"/>
    <n v="3"/>
    <n v="2"/>
    <x v="0"/>
    <n v="3"/>
    <x v="1"/>
    <n v="4221"/>
    <n v="8863"/>
    <n v="1"/>
    <s v="Y"/>
    <x v="1"/>
    <n v="15"/>
    <n v="3"/>
    <n v="2"/>
    <n v="80"/>
    <n v="0"/>
    <n v="5"/>
    <n v="3"/>
    <n v="4"/>
    <x v="8"/>
    <m/>
    <n v="4"/>
    <n v="0"/>
    <n v="4"/>
  </r>
  <r>
    <n v="58"/>
    <x v="1"/>
    <x v="0"/>
    <n v="682"/>
    <x v="0"/>
    <n v="10"/>
    <n v="4"/>
    <x v="2"/>
    <n v="1"/>
    <n v="131"/>
    <n v="4"/>
    <x v="1"/>
    <n v="37"/>
    <n v="3"/>
    <n v="4"/>
    <x v="0"/>
    <n v="3"/>
    <x v="0"/>
    <n v="13872"/>
    <n v="24409"/>
    <n v="0"/>
    <s v="Y"/>
    <x v="1"/>
    <n v="13"/>
    <n v="3"/>
    <n v="3"/>
    <n v="80"/>
    <n v="0"/>
    <n v="38"/>
    <n v="1"/>
    <n v="2"/>
    <x v="21"/>
    <m/>
    <n v="10"/>
    <n v="1"/>
    <n v="8"/>
  </r>
  <r>
    <n v="44"/>
    <x v="1"/>
    <x v="2"/>
    <n v="489"/>
    <x v="1"/>
    <n v="23"/>
    <n v="3"/>
    <x v="2"/>
    <n v="1"/>
    <n v="132"/>
    <n v="2"/>
    <x v="1"/>
    <n v="67"/>
    <n v="3"/>
    <n v="2"/>
    <x v="2"/>
    <n v="2"/>
    <x v="1"/>
    <n v="2042"/>
    <n v="25043"/>
    <n v="4"/>
    <s v="Y"/>
    <x v="1"/>
    <n v="12"/>
    <n v="3"/>
    <n v="3"/>
    <n v="80"/>
    <n v="1"/>
    <n v="17"/>
    <n v="3"/>
    <n v="4"/>
    <x v="11"/>
    <m/>
    <n v="2"/>
    <n v="1"/>
    <n v="2"/>
  </r>
  <r>
    <n v="37"/>
    <x v="0"/>
    <x v="0"/>
    <n v="807"/>
    <x v="2"/>
    <n v="6"/>
    <n v="4"/>
    <x v="5"/>
    <n v="1"/>
    <n v="133"/>
    <n v="3"/>
    <x v="1"/>
    <n v="63"/>
    <n v="3"/>
    <n v="1"/>
    <x v="8"/>
    <n v="1"/>
    <x v="2"/>
    <n v="2073"/>
    <n v="23648"/>
    <n v="4"/>
    <s v="Y"/>
    <x v="0"/>
    <n v="22"/>
    <n v="4"/>
    <n v="4"/>
    <n v="80"/>
    <n v="0"/>
    <n v="7"/>
    <n v="3"/>
    <n v="3"/>
    <x v="11"/>
    <m/>
    <n v="2"/>
    <n v="0"/>
    <n v="2"/>
  </r>
  <r>
    <n v="32"/>
    <x v="1"/>
    <x v="0"/>
    <n v="827"/>
    <x v="1"/>
    <n v="1"/>
    <n v="1"/>
    <x v="0"/>
    <n v="1"/>
    <n v="134"/>
    <n v="4"/>
    <x v="1"/>
    <n v="71"/>
    <n v="3"/>
    <n v="1"/>
    <x v="1"/>
    <n v="1"/>
    <x v="0"/>
    <n v="2956"/>
    <n v="15178"/>
    <n v="1"/>
    <s v="Y"/>
    <x v="1"/>
    <n v="13"/>
    <n v="3"/>
    <n v="4"/>
    <n v="80"/>
    <n v="0"/>
    <n v="1"/>
    <n v="2"/>
    <n v="3"/>
    <x v="6"/>
    <m/>
    <n v="0"/>
    <n v="0"/>
    <n v="0"/>
  </r>
  <r>
    <n v="20"/>
    <x v="0"/>
    <x v="1"/>
    <n v="871"/>
    <x v="1"/>
    <n v="6"/>
    <n v="3"/>
    <x v="0"/>
    <n v="1"/>
    <n v="137"/>
    <n v="4"/>
    <x v="0"/>
    <n v="66"/>
    <n v="2"/>
    <n v="1"/>
    <x v="2"/>
    <n v="4"/>
    <x v="0"/>
    <n v="2926"/>
    <n v="19783"/>
    <n v="1"/>
    <s v="Y"/>
    <x v="0"/>
    <n v="18"/>
    <n v="3"/>
    <n v="2"/>
    <n v="80"/>
    <n v="0"/>
    <n v="1"/>
    <n v="5"/>
    <n v="3"/>
    <x v="6"/>
    <m/>
    <n v="0"/>
    <n v="1"/>
    <n v="0"/>
  </r>
  <r>
    <n v="34"/>
    <x v="1"/>
    <x v="0"/>
    <n v="665"/>
    <x v="1"/>
    <n v="6"/>
    <n v="4"/>
    <x v="1"/>
    <n v="1"/>
    <n v="138"/>
    <n v="1"/>
    <x v="0"/>
    <n v="41"/>
    <n v="3"/>
    <n v="2"/>
    <x v="1"/>
    <n v="3"/>
    <x v="0"/>
    <n v="4809"/>
    <n v="12482"/>
    <n v="1"/>
    <s v="Y"/>
    <x v="1"/>
    <n v="14"/>
    <n v="3"/>
    <n v="3"/>
    <n v="80"/>
    <n v="0"/>
    <n v="16"/>
    <n v="3"/>
    <n v="3"/>
    <x v="22"/>
    <m/>
    <n v="13"/>
    <n v="2"/>
    <n v="10"/>
  </r>
  <r>
    <n v="37"/>
    <x v="1"/>
    <x v="2"/>
    <n v="1040"/>
    <x v="1"/>
    <n v="2"/>
    <n v="2"/>
    <x v="0"/>
    <n v="1"/>
    <n v="139"/>
    <n v="3"/>
    <x v="1"/>
    <n v="100"/>
    <n v="2"/>
    <n v="2"/>
    <x v="4"/>
    <n v="4"/>
    <x v="2"/>
    <n v="5163"/>
    <n v="15850"/>
    <n v="5"/>
    <s v="Y"/>
    <x v="1"/>
    <n v="14"/>
    <n v="3"/>
    <n v="4"/>
    <n v="80"/>
    <n v="1"/>
    <n v="17"/>
    <n v="2"/>
    <n v="4"/>
    <x v="6"/>
    <m/>
    <n v="0"/>
    <n v="0"/>
    <n v="0"/>
  </r>
  <r>
    <n v="59"/>
    <x v="1"/>
    <x v="2"/>
    <n v="1420"/>
    <x v="2"/>
    <n v="2"/>
    <n v="4"/>
    <x v="5"/>
    <n v="1"/>
    <n v="140"/>
    <n v="3"/>
    <x v="0"/>
    <n v="32"/>
    <n v="2"/>
    <n v="5"/>
    <x v="5"/>
    <n v="4"/>
    <x v="1"/>
    <n v="18844"/>
    <n v="21922"/>
    <n v="9"/>
    <s v="Y"/>
    <x v="1"/>
    <n v="21"/>
    <n v="4"/>
    <n v="4"/>
    <n v="80"/>
    <n v="1"/>
    <n v="30"/>
    <n v="3"/>
    <n v="3"/>
    <x v="11"/>
    <m/>
    <n v="2"/>
    <n v="2"/>
    <n v="2"/>
  </r>
  <r>
    <n v="50"/>
    <x v="1"/>
    <x v="1"/>
    <n v="1115"/>
    <x v="1"/>
    <n v="1"/>
    <n v="3"/>
    <x v="0"/>
    <n v="1"/>
    <n v="141"/>
    <n v="1"/>
    <x v="0"/>
    <n v="73"/>
    <n v="3"/>
    <n v="5"/>
    <x v="7"/>
    <n v="2"/>
    <x v="1"/>
    <n v="18172"/>
    <n v="9755"/>
    <n v="3"/>
    <s v="Y"/>
    <x v="0"/>
    <n v="19"/>
    <n v="3"/>
    <n v="1"/>
    <n v="80"/>
    <n v="0"/>
    <n v="28"/>
    <n v="1"/>
    <n v="2"/>
    <x v="3"/>
    <m/>
    <n v="3"/>
    <n v="0"/>
    <n v="7"/>
  </r>
  <r>
    <n v="25"/>
    <x v="0"/>
    <x v="0"/>
    <n v="240"/>
    <x v="0"/>
    <n v="5"/>
    <n v="3"/>
    <x v="3"/>
    <n v="1"/>
    <n v="142"/>
    <n v="3"/>
    <x v="1"/>
    <n v="46"/>
    <n v="2"/>
    <n v="2"/>
    <x v="0"/>
    <n v="3"/>
    <x v="0"/>
    <n v="5744"/>
    <n v="26959"/>
    <n v="1"/>
    <s v="Y"/>
    <x v="0"/>
    <n v="11"/>
    <n v="3"/>
    <n v="4"/>
    <n v="80"/>
    <n v="0"/>
    <n v="6"/>
    <n v="1"/>
    <n v="3"/>
    <x v="0"/>
    <m/>
    <n v="4"/>
    <n v="0"/>
    <n v="3"/>
  </r>
  <r>
    <n v="25"/>
    <x v="1"/>
    <x v="0"/>
    <n v="1280"/>
    <x v="1"/>
    <n v="7"/>
    <n v="1"/>
    <x v="2"/>
    <n v="1"/>
    <n v="143"/>
    <n v="4"/>
    <x v="1"/>
    <n v="64"/>
    <n v="2"/>
    <n v="1"/>
    <x v="1"/>
    <n v="4"/>
    <x v="1"/>
    <n v="2889"/>
    <n v="26897"/>
    <n v="1"/>
    <s v="Y"/>
    <x v="1"/>
    <n v="11"/>
    <n v="3"/>
    <n v="3"/>
    <n v="80"/>
    <n v="2"/>
    <n v="2"/>
    <n v="2"/>
    <n v="3"/>
    <x v="4"/>
    <m/>
    <n v="2"/>
    <n v="2"/>
    <n v="1"/>
  </r>
  <r>
    <n v="22"/>
    <x v="1"/>
    <x v="0"/>
    <n v="534"/>
    <x v="1"/>
    <n v="15"/>
    <n v="3"/>
    <x v="2"/>
    <n v="1"/>
    <n v="144"/>
    <n v="2"/>
    <x v="0"/>
    <n v="59"/>
    <n v="3"/>
    <n v="1"/>
    <x v="2"/>
    <n v="4"/>
    <x v="0"/>
    <n v="2871"/>
    <n v="23785"/>
    <n v="1"/>
    <s v="Y"/>
    <x v="1"/>
    <n v="15"/>
    <n v="3"/>
    <n v="3"/>
    <n v="80"/>
    <n v="0"/>
    <n v="1"/>
    <n v="5"/>
    <n v="3"/>
    <x v="2"/>
    <m/>
    <n v="0"/>
    <n v="0"/>
    <n v="0"/>
  </r>
  <r>
    <n v="51"/>
    <x v="1"/>
    <x v="1"/>
    <n v="1456"/>
    <x v="1"/>
    <n v="1"/>
    <n v="4"/>
    <x v="2"/>
    <n v="1"/>
    <n v="145"/>
    <n v="1"/>
    <x v="0"/>
    <n v="30"/>
    <n v="2"/>
    <n v="3"/>
    <x v="4"/>
    <n v="1"/>
    <x v="0"/>
    <n v="7484"/>
    <n v="25796"/>
    <n v="3"/>
    <s v="Y"/>
    <x v="1"/>
    <n v="20"/>
    <n v="4"/>
    <n v="3"/>
    <n v="80"/>
    <n v="0"/>
    <n v="23"/>
    <n v="1"/>
    <n v="2"/>
    <x v="20"/>
    <m/>
    <n v="12"/>
    <n v="12"/>
    <n v="8"/>
  </r>
  <r>
    <n v="34"/>
    <x v="0"/>
    <x v="1"/>
    <n v="658"/>
    <x v="1"/>
    <n v="7"/>
    <n v="3"/>
    <x v="0"/>
    <n v="1"/>
    <n v="147"/>
    <n v="1"/>
    <x v="1"/>
    <n v="66"/>
    <n v="1"/>
    <n v="2"/>
    <x v="2"/>
    <n v="3"/>
    <x v="0"/>
    <n v="6074"/>
    <n v="22887"/>
    <n v="1"/>
    <s v="Y"/>
    <x v="0"/>
    <n v="24"/>
    <n v="4"/>
    <n v="4"/>
    <n v="80"/>
    <n v="0"/>
    <n v="9"/>
    <n v="3"/>
    <n v="3"/>
    <x v="7"/>
    <m/>
    <n v="7"/>
    <n v="0"/>
    <n v="6"/>
  </r>
  <r>
    <n v="54"/>
    <x v="1"/>
    <x v="2"/>
    <n v="142"/>
    <x v="2"/>
    <n v="26"/>
    <n v="3"/>
    <x v="5"/>
    <n v="1"/>
    <n v="148"/>
    <n v="4"/>
    <x v="0"/>
    <n v="30"/>
    <n v="4"/>
    <n v="4"/>
    <x v="5"/>
    <n v="4"/>
    <x v="0"/>
    <n v="17328"/>
    <n v="13871"/>
    <n v="2"/>
    <s v="Y"/>
    <x v="0"/>
    <n v="12"/>
    <n v="3"/>
    <n v="3"/>
    <n v="80"/>
    <n v="0"/>
    <n v="23"/>
    <n v="3"/>
    <n v="3"/>
    <x v="8"/>
    <m/>
    <n v="3"/>
    <n v="4"/>
    <n v="4"/>
  </r>
  <r>
    <n v="24"/>
    <x v="1"/>
    <x v="0"/>
    <n v="1127"/>
    <x v="1"/>
    <n v="18"/>
    <n v="1"/>
    <x v="0"/>
    <n v="1"/>
    <n v="150"/>
    <n v="2"/>
    <x v="1"/>
    <n v="52"/>
    <n v="3"/>
    <n v="1"/>
    <x v="2"/>
    <n v="3"/>
    <x v="1"/>
    <n v="2774"/>
    <n v="13257"/>
    <n v="0"/>
    <s v="Y"/>
    <x v="1"/>
    <n v="12"/>
    <n v="3"/>
    <n v="3"/>
    <n v="80"/>
    <n v="1"/>
    <n v="6"/>
    <n v="2"/>
    <n v="3"/>
    <x v="8"/>
    <m/>
    <n v="3"/>
    <n v="1"/>
    <n v="2"/>
  </r>
  <r>
    <n v="34"/>
    <x v="1"/>
    <x v="0"/>
    <n v="1031"/>
    <x v="1"/>
    <n v="6"/>
    <n v="4"/>
    <x v="0"/>
    <n v="1"/>
    <n v="151"/>
    <n v="3"/>
    <x v="0"/>
    <n v="45"/>
    <n v="2"/>
    <n v="2"/>
    <x v="1"/>
    <n v="2"/>
    <x v="2"/>
    <n v="4505"/>
    <n v="15000"/>
    <n v="6"/>
    <s v="Y"/>
    <x v="1"/>
    <n v="15"/>
    <n v="3"/>
    <n v="3"/>
    <n v="80"/>
    <n v="1"/>
    <n v="12"/>
    <n v="3"/>
    <n v="3"/>
    <x v="6"/>
    <m/>
    <n v="0"/>
    <n v="0"/>
    <n v="0"/>
  </r>
  <r>
    <n v="37"/>
    <x v="1"/>
    <x v="0"/>
    <n v="1189"/>
    <x v="0"/>
    <n v="3"/>
    <n v="3"/>
    <x v="0"/>
    <n v="1"/>
    <n v="152"/>
    <n v="3"/>
    <x v="1"/>
    <n v="87"/>
    <n v="3"/>
    <n v="3"/>
    <x v="0"/>
    <n v="4"/>
    <x v="0"/>
    <n v="7428"/>
    <n v="14506"/>
    <n v="2"/>
    <s v="Y"/>
    <x v="1"/>
    <n v="12"/>
    <n v="3"/>
    <n v="1"/>
    <n v="80"/>
    <n v="0"/>
    <n v="12"/>
    <n v="3"/>
    <n v="3"/>
    <x v="8"/>
    <m/>
    <n v="3"/>
    <n v="1"/>
    <n v="3"/>
  </r>
  <r>
    <n v="34"/>
    <x v="1"/>
    <x v="0"/>
    <n v="1354"/>
    <x v="1"/>
    <n v="5"/>
    <n v="3"/>
    <x v="2"/>
    <n v="1"/>
    <n v="153"/>
    <n v="3"/>
    <x v="0"/>
    <n v="45"/>
    <n v="2"/>
    <n v="3"/>
    <x v="5"/>
    <n v="1"/>
    <x v="0"/>
    <n v="11631"/>
    <n v="5615"/>
    <n v="2"/>
    <s v="Y"/>
    <x v="1"/>
    <n v="12"/>
    <n v="3"/>
    <n v="4"/>
    <n v="80"/>
    <n v="0"/>
    <n v="14"/>
    <n v="6"/>
    <n v="3"/>
    <x v="19"/>
    <m/>
    <n v="10"/>
    <n v="5"/>
    <n v="8"/>
  </r>
  <r>
    <n v="36"/>
    <x v="1"/>
    <x v="1"/>
    <n v="1467"/>
    <x v="0"/>
    <n v="11"/>
    <n v="2"/>
    <x v="4"/>
    <n v="1"/>
    <n v="154"/>
    <n v="2"/>
    <x v="0"/>
    <n v="92"/>
    <n v="3"/>
    <n v="3"/>
    <x v="0"/>
    <n v="4"/>
    <x v="1"/>
    <n v="9738"/>
    <n v="22952"/>
    <n v="0"/>
    <s v="Y"/>
    <x v="1"/>
    <n v="14"/>
    <n v="3"/>
    <n v="3"/>
    <n v="80"/>
    <n v="1"/>
    <n v="10"/>
    <n v="6"/>
    <n v="3"/>
    <x v="7"/>
    <m/>
    <n v="7"/>
    <n v="2"/>
    <n v="8"/>
  </r>
  <r>
    <n v="36"/>
    <x v="1"/>
    <x v="0"/>
    <n v="922"/>
    <x v="1"/>
    <n v="3"/>
    <n v="2"/>
    <x v="0"/>
    <n v="1"/>
    <n v="155"/>
    <n v="1"/>
    <x v="0"/>
    <n v="39"/>
    <n v="3"/>
    <n v="1"/>
    <x v="2"/>
    <n v="4"/>
    <x v="2"/>
    <n v="2835"/>
    <n v="2561"/>
    <n v="5"/>
    <s v="Y"/>
    <x v="1"/>
    <n v="22"/>
    <n v="4"/>
    <n v="1"/>
    <n v="80"/>
    <n v="1"/>
    <n v="7"/>
    <n v="2"/>
    <n v="3"/>
    <x v="6"/>
    <m/>
    <n v="0"/>
    <n v="0"/>
    <n v="0"/>
  </r>
  <r>
    <n v="43"/>
    <x v="1"/>
    <x v="1"/>
    <n v="394"/>
    <x v="0"/>
    <n v="26"/>
    <n v="2"/>
    <x v="0"/>
    <n v="1"/>
    <n v="158"/>
    <n v="3"/>
    <x v="1"/>
    <n v="92"/>
    <n v="3"/>
    <n v="4"/>
    <x v="5"/>
    <n v="4"/>
    <x v="1"/>
    <n v="16959"/>
    <n v="19494"/>
    <n v="1"/>
    <s v="Y"/>
    <x v="0"/>
    <n v="12"/>
    <n v="3"/>
    <n v="4"/>
    <n v="80"/>
    <n v="2"/>
    <n v="25"/>
    <n v="3"/>
    <n v="4"/>
    <x v="10"/>
    <m/>
    <n v="12"/>
    <n v="4"/>
    <n v="12"/>
  </r>
  <r>
    <n v="30"/>
    <x v="1"/>
    <x v="1"/>
    <n v="1312"/>
    <x v="1"/>
    <n v="23"/>
    <n v="3"/>
    <x v="0"/>
    <n v="1"/>
    <n v="159"/>
    <n v="1"/>
    <x v="1"/>
    <n v="96"/>
    <n v="1"/>
    <n v="1"/>
    <x v="1"/>
    <n v="3"/>
    <x v="2"/>
    <n v="2613"/>
    <n v="22310"/>
    <n v="1"/>
    <s v="Y"/>
    <x v="1"/>
    <n v="25"/>
    <n v="4"/>
    <n v="3"/>
    <n v="80"/>
    <n v="3"/>
    <n v="10"/>
    <n v="2"/>
    <n v="2"/>
    <x v="1"/>
    <m/>
    <n v="7"/>
    <n v="0"/>
    <n v="9"/>
  </r>
  <r>
    <n v="33"/>
    <x v="1"/>
    <x v="2"/>
    <n v="750"/>
    <x v="0"/>
    <n v="22"/>
    <n v="2"/>
    <x v="3"/>
    <n v="1"/>
    <n v="160"/>
    <n v="3"/>
    <x v="1"/>
    <n v="95"/>
    <n v="3"/>
    <n v="2"/>
    <x v="0"/>
    <n v="2"/>
    <x v="1"/>
    <n v="6146"/>
    <n v="15480"/>
    <n v="0"/>
    <s v="Y"/>
    <x v="1"/>
    <n v="13"/>
    <n v="3"/>
    <n v="1"/>
    <n v="80"/>
    <n v="1"/>
    <n v="8"/>
    <n v="2"/>
    <n v="4"/>
    <x v="5"/>
    <m/>
    <n v="7"/>
    <n v="0"/>
    <n v="7"/>
  </r>
  <r>
    <n v="56"/>
    <x v="0"/>
    <x v="0"/>
    <n v="441"/>
    <x v="1"/>
    <n v="14"/>
    <n v="4"/>
    <x v="0"/>
    <n v="1"/>
    <n v="161"/>
    <n v="2"/>
    <x v="0"/>
    <n v="72"/>
    <n v="3"/>
    <n v="1"/>
    <x v="1"/>
    <n v="2"/>
    <x v="1"/>
    <n v="4963"/>
    <n v="4510"/>
    <n v="9"/>
    <s v="Y"/>
    <x v="0"/>
    <n v="18"/>
    <n v="3"/>
    <n v="1"/>
    <n v="80"/>
    <n v="3"/>
    <n v="7"/>
    <n v="2"/>
    <n v="3"/>
    <x v="8"/>
    <m/>
    <n v="4"/>
    <n v="4"/>
    <n v="3"/>
  </r>
  <r>
    <n v="51"/>
    <x v="1"/>
    <x v="0"/>
    <n v="684"/>
    <x v="1"/>
    <n v="6"/>
    <n v="3"/>
    <x v="0"/>
    <n v="1"/>
    <n v="162"/>
    <n v="1"/>
    <x v="1"/>
    <n v="51"/>
    <n v="3"/>
    <n v="5"/>
    <x v="7"/>
    <n v="3"/>
    <x v="0"/>
    <n v="19537"/>
    <n v="6462"/>
    <n v="7"/>
    <s v="Y"/>
    <x v="1"/>
    <n v="13"/>
    <n v="3"/>
    <n v="3"/>
    <n v="80"/>
    <n v="0"/>
    <n v="23"/>
    <n v="5"/>
    <n v="3"/>
    <x v="23"/>
    <m/>
    <n v="18"/>
    <n v="15"/>
    <n v="15"/>
  </r>
  <r>
    <n v="31"/>
    <x v="0"/>
    <x v="0"/>
    <n v="249"/>
    <x v="0"/>
    <n v="6"/>
    <n v="4"/>
    <x v="0"/>
    <n v="1"/>
    <n v="163"/>
    <n v="2"/>
    <x v="1"/>
    <n v="76"/>
    <n v="1"/>
    <n v="2"/>
    <x v="0"/>
    <n v="3"/>
    <x v="1"/>
    <n v="6172"/>
    <n v="20739"/>
    <n v="4"/>
    <s v="Y"/>
    <x v="0"/>
    <n v="18"/>
    <n v="3"/>
    <n v="2"/>
    <n v="80"/>
    <n v="0"/>
    <n v="12"/>
    <n v="3"/>
    <n v="2"/>
    <x v="5"/>
    <m/>
    <n v="7"/>
    <n v="7"/>
    <n v="7"/>
  </r>
  <r>
    <n v="26"/>
    <x v="1"/>
    <x v="0"/>
    <n v="841"/>
    <x v="1"/>
    <n v="6"/>
    <n v="3"/>
    <x v="1"/>
    <n v="1"/>
    <n v="164"/>
    <n v="3"/>
    <x v="0"/>
    <n v="46"/>
    <n v="2"/>
    <n v="1"/>
    <x v="1"/>
    <n v="2"/>
    <x v="1"/>
    <n v="2368"/>
    <n v="23300"/>
    <n v="1"/>
    <s v="Y"/>
    <x v="1"/>
    <n v="19"/>
    <n v="3"/>
    <n v="3"/>
    <n v="80"/>
    <n v="0"/>
    <n v="5"/>
    <n v="3"/>
    <n v="2"/>
    <x v="8"/>
    <m/>
    <n v="4"/>
    <n v="4"/>
    <n v="3"/>
  </r>
  <r>
    <n v="58"/>
    <x v="0"/>
    <x v="0"/>
    <n v="147"/>
    <x v="1"/>
    <n v="23"/>
    <n v="4"/>
    <x v="2"/>
    <n v="1"/>
    <n v="165"/>
    <n v="4"/>
    <x v="0"/>
    <n v="94"/>
    <n v="3"/>
    <n v="3"/>
    <x v="4"/>
    <n v="4"/>
    <x v="1"/>
    <n v="10312"/>
    <n v="3465"/>
    <n v="1"/>
    <s v="Y"/>
    <x v="1"/>
    <n v="12"/>
    <n v="3"/>
    <n v="4"/>
    <n v="80"/>
    <n v="1"/>
    <n v="40"/>
    <n v="3"/>
    <n v="2"/>
    <x v="24"/>
    <m/>
    <n v="10"/>
    <n v="15"/>
    <n v="6"/>
  </r>
  <r>
    <n v="19"/>
    <x v="0"/>
    <x v="0"/>
    <n v="528"/>
    <x v="0"/>
    <n v="22"/>
    <n v="1"/>
    <x v="3"/>
    <n v="1"/>
    <n v="167"/>
    <n v="4"/>
    <x v="1"/>
    <n v="50"/>
    <n v="3"/>
    <n v="1"/>
    <x v="6"/>
    <n v="3"/>
    <x v="0"/>
    <n v="1675"/>
    <n v="26820"/>
    <n v="1"/>
    <s v="Y"/>
    <x v="0"/>
    <n v="19"/>
    <n v="3"/>
    <n v="4"/>
    <n v="80"/>
    <n v="0"/>
    <n v="0"/>
    <n v="2"/>
    <n v="2"/>
    <x v="2"/>
    <m/>
    <n v="0"/>
    <n v="0"/>
    <n v="0"/>
  </r>
  <r>
    <n v="22"/>
    <x v="1"/>
    <x v="0"/>
    <n v="594"/>
    <x v="1"/>
    <n v="2"/>
    <n v="1"/>
    <x v="4"/>
    <n v="1"/>
    <n v="169"/>
    <n v="3"/>
    <x v="1"/>
    <n v="100"/>
    <n v="3"/>
    <n v="1"/>
    <x v="2"/>
    <n v="4"/>
    <x v="1"/>
    <n v="2523"/>
    <n v="19299"/>
    <n v="0"/>
    <s v="Y"/>
    <x v="1"/>
    <n v="14"/>
    <n v="3"/>
    <n v="3"/>
    <n v="80"/>
    <n v="1"/>
    <n v="3"/>
    <n v="2"/>
    <n v="3"/>
    <x v="4"/>
    <m/>
    <n v="1"/>
    <n v="2"/>
    <n v="1"/>
  </r>
  <r>
    <n v="49"/>
    <x v="1"/>
    <x v="0"/>
    <n v="470"/>
    <x v="1"/>
    <n v="20"/>
    <n v="4"/>
    <x v="2"/>
    <n v="1"/>
    <n v="170"/>
    <n v="3"/>
    <x v="0"/>
    <n v="96"/>
    <n v="3"/>
    <n v="2"/>
    <x v="3"/>
    <n v="1"/>
    <x v="1"/>
    <n v="6567"/>
    <n v="5549"/>
    <n v="1"/>
    <s v="Y"/>
    <x v="1"/>
    <n v="14"/>
    <n v="3"/>
    <n v="3"/>
    <n v="80"/>
    <n v="0"/>
    <n v="16"/>
    <n v="2"/>
    <n v="2"/>
    <x v="15"/>
    <m/>
    <n v="11"/>
    <n v="5"/>
    <n v="11"/>
  </r>
  <r>
    <n v="43"/>
    <x v="1"/>
    <x v="1"/>
    <n v="957"/>
    <x v="1"/>
    <n v="28"/>
    <n v="3"/>
    <x v="2"/>
    <n v="1"/>
    <n v="171"/>
    <n v="2"/>
    <x v="0"/>
    <n v="72"/>
    <n v="4"/>
    <n v="1"/>
    <x v="1"/>
    <n v="3"/>
    <x v="0"/>
    <n v="4739"/>
    <n v="16090"/>
    <n v="4"/>
    <s v="Y"/>
    <x v="1"/>
    <n v="12"/>
    <n v="3"/>
    <n v="4"/>
    <n v="80"/>
    <n v="0"/>
    <n v="18"/>
    <n v="2"/>
    <n v="3"/>
    <x v="11"/>
    <m/>
    <n v="2"/>
    <n v="1"/>
    <n v="2"/>
  </r>
  <r>
    <n v="50"/>
    <x v="1"/>
    <x v="1"/>
    <n v="809"/>
    <x v="0"/>
    <n v="12"/>
    <n v="3"/>
    <x v="3"/>
    <n v="1"/>
    <n v="174"/>
    <n v="3"/>
    <x v="0"/>
    <n v="77"/>
    <n v="3"/>
    <n v="3"/>
    <x v="0"/>
    <n v="4"/>
    <x v="0"/>
    <n v="9208"/>
    <n v="6645"/>
    <n v="4"/>
    <s v="Y"/>
    <x v="1"/>
    <n v="11"/>
    <n v="3"/>
    <n v="4"/>
    <n v="80"/>
    <n v="0"/>
    <n v="16"/>
    <n v="3"/>
    <n v="3"/>
    <x v="4"/>
    <m/>
    <n v="2"/>
    <n v="2"/>
    <n v="1"/>
  </r>
  <r>
    <n v="31"/>
    <x v="0"/>
    <x v="0"/>
    <n v="542"/>
    <x v="0"/>
    <n v="20"/>
    <n v="3"/>
    <x v="0"/>
    <n v="1"/>
    <n v="175"/>
    <n v="2"/>
    <x v="0"/>
    <n v="71"/>
    <n v="1"/>
    <n v="2"/>
    <x v="0"/>
    <n v="3"/>
    <x v="1"/>
    <n v="4559"/>
    <n v="24788"/>
    <n v="3"/>
    <s v="Y"/>
    <x v="0"/>
    <n v="11"/>
    <n v="3"/>
    <n v="3"/>
    <n v="80"/>
    <n v="1"/>
    <n v="4"/>
    <n v="2"/>
    <n v="3"/>
    <x v="4"/>
    <m/>
    <n v="2"/>
    <n v="2"/>
    <n v="2"/>
  </r>
  <r>
    <n v="41"/>
    <x v="1"/>
    <x v="0"/>
    <n v="802"/>
    <x v="0"/>
    <n v="9"/>
    <n v="1"/>
    <x v="0"/>
    <n v="1"/>
    <n v="176"/>
    <n v="3"/>
    <x v="1"/>
    <n v="96"/>
    <n v="3"/>
    <n v="3"/>
    <x v="0"/>
    <n v="3"/>
    <x v="2"/>
    <n v="8189"/>
    <n v="21196"/>
    <n v="3"/>
    <s v="Y"/>
    <x v="0"/>
    <n v="13"/>
    <n v="3"/>
    <n v="3"/>
    <n v="80"/>
    <n v="1"/>
    <n v="12"/>
    <n v="2"/>
    <n v="3"/>
    <x v="7"/>
    <m/>
    <n v="7"/>
    <n v="0"/>
    <n v="7"/>
  </r>
  <r>
    <n v="26"/>
    <x v="1"/>
    <x v="0"/>
    <n v="1355"/>
    <x v="2"/>
    <n v="25"/>
    <n v="1"/>
    <x v="0"/>
    <n v="1"/>
    <n v="177"/>
    <n v="3"/>
    <x v="0"/>
    <n v="61"/>
    <n v="3"/>
    <n v="1"/>
    <x v="8"/>
    <n v="3"/>
    <x v="1"/>
    <n v="2942"/>
    <n v="8916"/>
    <n v="1"/>
    <s v="Y"/>
    <x v="1"/>
    <n v="23"/>
    <n v="4"/>
    <n v="4"/>
    <n v="80"/>
    <n v="1"/>
    <n v="8"/>
    <n v="3"/>
    <n v="3"/>
    <x v="3"/>
    <m/>
    <n v="7"/>
    <n v="5"/>
    <n v="7"/>
  </r>
  <r>
    <n v="36"/>
    <x v="1"/>
    <x v="0"/>
    <n v="216"/>
    <x v="1"/>
    <n v="6"/>
    <n v="2"/>
    <x v="2"/>
    <n v="1"/>
    <n v="178"/>
    <n v="2"/>
    <x v="1"/>
    <n v="84"/>
    <n v="3"/>
    <n v="2"/>
    <x v="3"/>
    <n v="2"/>
    <x v="2"/>
    <n v="4941"/>
    <n v="2819"/>
    <n v="6"/>
    <s v="Y"/>
    <x v="1"/>
    <n v="20"/>
    <n v="4"/>
    <n v="4"/>
    <n v="80"/>
    <n v="2"/>
    <n v="7"/>
    <n v="0"/>
    <n v="3"/>
    <x v="11"/>
    <m/>
    <n v="2"/>
    <n v="0"/>
    <n v="1"/>
  </r>
  <r>
    <n v="51"/>
    <x v="0"/>
    <x v="1"/>
    <n v="1150"/>
    <x v="1"/>
    <n v="8"/>
    <n v="4"/>
    <x v="0"/>
    <n v="1"/>
    <n v="179"/>
    <n v="1"/>
    <x v="1"/>
    <n v="53"/>
    <n v="1"/>
    <n v="3"/>
    <x v="3"/>
    <n v="4"/>
    <x v="0"/>
    <n v="10650"/>
    <n v="25150"/>
    <n v="2"/>
    <s v="Y"/>
    <x v="1"/>
    <n v="15"/>
    <n v="3"/>
    <n v="4"/>
    <n v="80"/>
    <n v="0"/>
    <n v="18"/>
    <n v="2"/>
    <n v="3"/>
    <x v="9"/>
    <m/>
    <n v="2"/>
    <n v="0"/>
    <n v="3"/>
  </r>
  <r>
    <n v="39"/>
    <x v="1"/>
    <x v="0"/>
    <n v="1329"/>
    <x v="0"/>
    <n v="4"/>
    <n v="4"/>
    <x v="0"/>
    <n v="1"/>
    <n v="182"/>
    <n v="4"/>
    <x v="0"/>
    <n v="47"/>
    <n v="2"/>
    <n v="2"/>
    <x v="0"/>
    <n v="3"/>
    <x v="1"/>
    <n v="5902"/>
    <n v="14590"/>
    <n v="4"/>
    <s v="Y"/>
    <x v="1"/>
    <n v="14"/>
    <n v="3"/>
    <n v="3"/>
    <n v="80"/>
    <n v="1"/>
    <n v="17"/>
    <n v="1"/>
    <n v="4"/>
    <x v="15"/>
    <m/>
    <n v="11"/>
    <n v="5"/>
    <n v="9"/>
  </r>
  <r>
    <n v="25"/>
    <x v="1"/>
    <x v="0"/>
    <n v="959"/>
    <x v="0"/>
    <n v="28"/>
    <n v="3"/>
    <x v="0"/>
    <n v="1"/>
    <n v="183"/>
    <n v="1"/>
    <x v="1"/>
    <n v="41"/>
    <n v="2"/>
    <n v="2"/>
    <x v="0"/>
    <n v="3"/>
    <x v="1"/>
    <n v="8639"/>
    <n v="24835"/>
    <n v="2"/>
    <s v="Y"/>
    <x v="1"/>
    <n v="18"/>
    <n v="3"/>
    <n v="4"/>
    <n v="80"/>
    <n v="0"/>
    <n v="6"/>
    <n v="3"/>
    <n v="3"/>
    <x v="4"/>
    <m/>
    <n v="2"/>
    <n v="2"/>
    <n v="2"/>
  </r>
  <r>
    <n v="30"/>
    <x v="1"/>
    <x v="0"/>
    <n v="1240"/>
    <x v="2"/>
    <n v="9"/>
    <n v="3"/>
    <x v="5"/>
    <n v="1"/>
    <n v="184"/>
    <n v="3"/>
    <x v="1"/>
    <n v="48"/>
    <n v="3"/>
    <n v="2"/>
    <x v="8"/>
    <n v="4"/>
    <x v="1"/>
    <n v="6347"/>
    <n v="13982"/>
    <n v="0"/>
    <s v="Y"/>
    <x v="0"/>
    <n v="19"/>
    <n v="3"/>
    <n v="4"/>
    <n v="80"/>
    <n v="0"/>
    <n v="12"/>
    <n v="2"/>
    <n v="1"/>
    <x v="19"/>
    <m/>
    <n v="9"/>
    <n v="4"/>
    <n v="7"/>
  </r>
  <r>
    <n v="32"/>
    <x v="0"/>
    <x v="0"/>
    <n v="1033"/>
    <x v="1"/>
    <n v="9"/>
    <n v="3"/>
    <x v="2"/>
    <n v="1"/>
    <n v="190"/>
    <n v="1"/>
    <x v="0"/>
    <n v="41"/>
    <n v="3"/>
    <n v="1"/>
    <x v="2"/>
    <n v="1"/>
    <x v="0"/>
    <n v="4200"/>
    <n v="10224"/>
    <n v="7"/>
    <s v="Y"/>
    <x v="1"/>
    <n v="22"/>
    <n v="4"/>
    <n v="1"/>
    <n v="80"/>
    <n v="0"/>
    <n v="10"/>
    <n v="2"/>
    <n v="4"/>
    <x v="8"/>
    <m/>
    <n v="4"/>
    <n v="0"/>
    <n v="4"/>
  </r>
  <r>
    <n v="45"/>
    <x v="1"/>
    <x v="0"/>
    <n v="1316"/>
    <x v="1"/>
    <n v="29"/>
    <n v="3"/>
    <x v="2"/>
    <n v="1"/>
    <n v="192"/>
    <n v="3"/>
    <x v="1"/>
    <n v="83"/>
    <n v="3"/>
    <n v="1"/>
    <x v="1"/>
    <n v="4"/>
    <x v="0"/>
    <n v="3452"/>
    <n v="9752"/>
    <n v="5"/>
    <s v="Y"/>
    <x v="1"/>
    <n v="13"/>
    <n v="3"/>
    <n v="2"/>
    <n v="80"/>
    <n v="0"/>
    <n v="9"/>
    <n v="2"/>
    <n v="2"/>
    <x v="0"/>
    <m/>
    <n v="5"/>
    <n v="0"/>
    <n v="3"/>
  </r>
  <r>
    <n v="38"/>
    <x v="1"/>
    <x v="0"/>
    <n v="364"/>
    <x v="1"/>
    <n v="3"/>
    <n v="5"/>
    <x v="4"/>
    <n v="1"/>
    <n v="193"/>
    <n v="4"/>
    <x v="0"/>
    <n v="32"/>
    <n v="3"/>
    <n v="2"/>
    <x v="1"/>
    <n v="3"/>
    <x v="0"/>
    <n v="4317"/>
    <n v="2302"/>
    <n v="3"/>
    <s v="Y"/>
    <x v="0"/>
    <n v="20"/>
    <n v="4"/>
    <n v="2"/>
    <n v="80"/>
    <n v="0"/>
    <n v="19"/>
    <n v="2"/>
    <n v="3"/>
    <x v="11"/>
    <m/>
    <n v="2"/>
    <n v="2"/>
    <n v="2"/>
  </r>
  <r>
    <n v="30"/>
    <x v="1"/>
    <x v="0"/>
    <n v="438"/>
    <x v="1"/>
    <n v="18"/>
    <n v="3"/>
    <x v="0"/>
    <n v="1"/>
    <n v="194"/>
    <n v="1"/>
    <x v="0"/>
    <n v="75"/>
    <n v="3"/>
    <n v="1"/>
    <x v="1"/>
    <n v="3"/>
    <x v="0"/>
    <n v="2632"/>
    <n v="23910"/>
    <n v="1"/>
    <s v="Y"/>
    <x v="1"/>
    <n v="14"/>
    <n v="3"/>
    <n v="3"/>
    <n v="80"/>
    <n v="0"/>
    <n v="5"/>
    <n v="4"/>
    <n v="2"/>
    <x v="8"/>
    <m/>
    <n v="4"/>
    <n v="0"/>
    <n v="4"/>
  </r>
  <r>
    <n v="32"/>
    <x v="1"/>
    <x v="1"/>
    <n v="689"/>
    <x v="0"/>
    <n v="9"/>
    <n v="2"/>
    <x v="2"/>
    <n v="1"/>
    <n v="195"/>
    <n v="4"/>
    <x v="1"/>
    <n v="35"/>
    <n v="1"/>
    <n v="2"/>
    <x v="0"/>
    <n v="4"/>
    <x v="2"/>
    <n v="4668"/>
    <n v="22812"/>
    <n v="0"/>
    <s v="Y"/>
    <x v="1"/>
    <n v="17"/>
    <n v="3"/>
    <n v="4"/>
    <n v="80"/>
    <n v="3"/>
    <n v="9"/>
    <n v="2"/>
    <n v="4"/>
    <x v="3"/>
    <m/>
    <n v="7"/>
    <n v="0"/>
    <n v="7"/>
  </r>
  <r>
    <n v="30"/>
    <x v="1"/>
    <x v="0"/>
    <n v="201"/>
    <x v="1"/>
    <n v="5"/>
    <n v="3"/>
    <x v="4"/>
    <n v="1"/>
    <n v="197"/>
    <n v="4"/>
    <x v="0"/>
    <n v="84"/>
    <n v="3"/>
    <n v="1"/>
    <x v="1"/>
    <n v="1"/>
    <x v="2"/>
    <n v="3204"/>
    <n v="10415"/>
    <n v="5"/>
    <s v="Y"/>
    <x v="1"/>
    <n v="14"/>
    <n v="3"/>
    <n v="4"/>
    <n v="80"/>
    <n v="1"/>
    <n v="8"/>
    <n v="3"/>
    <n v="3"/>
    <x v="11"/>
    <m/>
    <n v="2"/>
    <n v="2"/>
    <n v="2"/>
  </r>
  <r>
    <n v="30"/>
    <x v="1"/>
    <x v="0"/>
    <n v="1427"/>
    <x v="1"/>
    <n v="2"/>
    <n v="1"/>
    <x v="2"/>
    <n v="1"/>
    <n v="198"/>
    <n v="2"/>
    <x v="1"/>
    <n v="35"/>
    <n v="2"/>
    <n v="1"/>
    <x v="2"/>
    <n v="4"/>
    <x v="0"/>
    <n v="2720"/>
    <n v="11162"/>
    <n v="0"/>
    <s v="Y"/>
    <x v="1"/>
    <n v="13"/>
    <n v="3"/>
    <n v="4"/>
    <n v="80"/>
    <n v="0"/>
    <n v="6"/>
    <n v="3"/>
    <n v="3"/>
    <x v="8"/>
    <m/>
    <n v="3"/>
    <n v="1"/>
    <n v="2"/>
  </r>
  <r>
    <n v="41"/>
    <x v="1"/>
    <x v="1"/>
    <n v="857"/>
    <x v="1"/>
    <n v="10"/>
    <n v="3"/>
    <x v="0"/>
    <n v="1"/>
    <n v="199"/>
    <n v="4"/>
    <x v="1"/>
    <n v="91"/>
    <n v="2"/>
    <n v="4"/>
    <x v="5"/>
    <n v="1"/>
    <x v="2"/>
    <n v="17181"/>
    <n v="12888"/>
    <n v="4"/>
    <s v="Y"/>
    <x v="1"/>
    <n v="13"/>
    <n v="3"/>
    <n v="2"/>
    <n v="80"/>
    <n v="1"/>
    <n v="21"/>
    <n v="2"/>
    <n v="2"/>
    <x v="5"/>
    <m/>
    <n v="6"/>
    <n v="7"/>
    <n v="7"/>
  </r>
  <r>
    <n v="41"/>
    <x v="1"/>
    <x v="0"/>
    <n v="933"/>
    <x v="1"/>
    <n v="9"/>
    <n v="4"/>
    <x v="0"/>
    <n v="1"/>
    <n v="200"/>
    <n v="3"/>
    <x v="1"/>
    <n v="94"/>
    <n v="3"/>
    <n v="1"/>
    <x v="2"/>
    <n v="1"/>
    <x v="1"/>
    <n v="2238"/>
    <n v="6961"/>
    <n v="2"/>
    <s v="Y"/>
    <x v="1"/>
    <n v="21"/>
    <n v="4"/>
    <n v="4"/>
    <n v="80"/>
    <n v="1"/>
    <n v="7"/>
    <n v="2"/>
    <n v="3"/>
    <x v="8"/>
    <m/>
    <n v="0"/>
    <n v="1"/>
    <n v="4"/>
  </r>
  <r>
    <n v="19"/>
    <x v="1"/>
    <x v="0"/>
    <n v="1181"/>
    <x v="1"/>
    <n v="3"/>
    <n v="1"/>
    <x v="2"/>
    <n v="1"/>
    <n v="201"/>
    <n v="2"/>
    <x v="0"/>
    <n v="79"/>
    <n v="3"/>
    <n v="1"/>
    <x v="2"/>
    <n v="2"/>
    <x v="0"/>
    <n v="1483"/>
    <n v="16102"/>
    <n v="1"/>
    <s v="Y"/>
    <x v="1"/>
    <n v="14"/>
    <n v="3"/>
    <n v="4"/>
    <n v="80"/>
    <n v="0"/>
    <n v="1"/>
    <n v="3"/>
    <n v="3"/>
    <x v="6"/>
    <m/>
    <n v="0"/>
    <n v="0"/>
    <n v="0"/>
  </r>
  <r>
    <n v="40"/>
    <x v="1"/>
    <x v="1"/>
    <n v="1395"/>
    <x v="1"/>
    <n v="26"/>
    <n v="3"/>
    <x v="2"/>
    <n v="1"/>
    <n v="202"/>
    <n v="2"/>
    <x v="0"/>
    <n v="54"/>
    <n v="3"/>
    <n v="2"/>
    <x v="1"/>
    <n v="2"/>
    <x v="2"/>
    <n v="5605"/>
    <n v="8504"/>
    <n v="1"/>
    <s v="Y"/>
    <x v="1"/>
    <n v="11"/>
    <n v="3"/>
    <n v="1"/>
    <n v="80"/>
    <n v="1"/>
    <n v="20"/>
    <n v="2"/>
    <n v="3"/>
    <x v="23"/>
    <m/>
    <n v="7"/>
    <n v="2"/>
    <n v="13"/>
  </r>
  <r>
    <n v="35"/>
    <x v="1"/>
    <x v="0"/>
    <n v="662"/>
    <x v="0"/>
    <n v="1"/>
    <n v="5"/>
    <x v="3"/>
    <n v="1"/>
    <n v="204"/>
    <n v="3"/>
    <x v="1"/>
    <n v="94"/>
    <n v="3"/>
    <n v="3"/>
    <x v="0"/>
    <n v="2"/>
    <x v="1"/>
    <n v="7295"/>
    <n v="11439"/>
    <n v="1"/>
    <s v="Y"/>
    <x v="1"/>
    <n v="13"/>
    <n v="3"/>
    <n v="1"/>
    <n v="80"/>
    <n v="2"/>
    <n v="10"/>
    <n v="3"/>
    <n v="3"/>
    <x v="1"/>
    <m/>
    <n v="8"/>
    <n v="0"/>
    <n v="6"/>
  </r>
  <r>
    <n v="53"/>
    <x v="1"/>
    <x v="0"/>
    <n v="1436"/>
    <x v="0"/>
    <n v="6"/>
    <n v="2"/>
    <x v="3"/>
    <n v="1"/>
    <n v="205"/>
    <n v="2"/>
    <x v="1"/>
    <n v="34"/>
    <n v="3"/>
    <n v="2"/>
    <x v="6"/>
    <n v="3"/>
    <x v="1"/>
    <n v="2306"/>
    <n v="16047"/>
    <n v="2"/>
    <s v="Y"/>
    <x v="0"/>
    <n v="20"/>
    <n v="4"/>
    <n v="4"/>
    <n v="80"/>
    <n v="1"/>
    <n v="13"/>
    <n v="3"/>
    <n v="1"/>
    <x v="5"/>
    <m/>
    <n v="7"/>
    <n v="4"/>
    <n v="5"/>
  </r>
  <r>
    <n v="45"/>
    <x v="1"/>
    <x v="0"/>
    <n v="194"/>
    <x v="1"/>
    <n v="9"/>
    <n v="3"/>
    <x v="0"/>
    <n v="1"/>
    <n v="206"/>
    <n v="2"/>
    <x v="1"/>
    <n v="60"/>
    <n v="3"/>
    <n v="2"/>
    <x v="2"/>
    <n v="2"/>
    <x v="2"/>
    <n v="2348"/>
    <n v="10901"/>
    <n v="8"/>
    <s v="Y"/>
    <x v="1"/>
    <n v="18"/>
    <n v="3"/>
    <n v="3"/>
    <n v="80"/>
    <n v="1"/>
    <n v="20"/>
    <n v="2"/>
    <n v="1"/>
    <x v="18"/>
    <m/>
    <n v="9"/>
    <n v="0"/>
    <n v="15"/>
  </r>
  <r>
    <n v="32"/>
    <x v="1"/>
    <x v="1"/>
    <n v="967"/>
    <x v="0"/>
    <n v="8"/>
    <n v="3"/>
    <x v="3"/>
    <n v="1"/>
    <n v="207"/>
    <n v="2"/>
    <x v="0"/>
    <n v="43"/>
    <n v="3"/>
    <n v="3"/>
    <x v="0"/>
    <n v="4"/>
    <x v="0"/>
    <n v="8998"/>
    <n v="15589"/>
    <n v="1"/>
    <s v="Y"/>
    <x v="1"/>
    <n v="14"/>
    <n v="3"/>
    <n v="4"/>
    <n v="80"/>
    <n v="0"/>
    <n v="9"/>
    <n v="2"/>
    <n v="3"/>
    <x v="7"/>
    <m/>
    <n v="8"/>
    <n v="3"/>
    <n v="7"/>
  </r>
  <r>
    <n v="29"/>
    <x v="1"/>
    <x v="2"/>
    <n v="1496"/>
    <x v="1"/>
    <n v="1"/>
    <n v="1"/>
    <x v="4"/>
    <n v="1"/>
    <n v="208"/>
    <n v="4"/>
    <x v="1"/>
    <n v="41"/>
    <n v="3"/>
    <n v="2"/>
    <x v="3"/>
    <n v="3"/>
    <x v="1"/>
    <n v="4319"/>
    <n v="26283"/>
    <n v="1"/>
    <s v="Y"/>
    <x v="1"/>
    <n v="13"/>
    <n v="3"/>
    <n v="1"/>
    <n v="80"/>
    <n v="1"/>
    <n v="10"/>
    <n v="1"/>
    <n v="3"/>
    <x v="1"/>
    <m/>
    <n v="7"/>
    <n v="0"/>
    <n v="9"/>
  </r>
  <r>
    <n v="51"/>
    <x v="1"/>
    <x v="0"/>
    <n v="1169"/>
    <x v="1"/>
    <n v="7"/>
    <n v="4"/>
    <x v="2"/>
    <n v="1"/>
    <n v="211"/>
    <n v="2"/>
    <x v="1"/>
    <n v="34"/>
    <n v="2"/>
    <n v="2"/>
    <x v="3"/>
    <n v="3"/>
    <x v="1"/>
    <n v="6132"/>
    <n v="13983"/>
    <n v="2"/>
    <s v="Y"/>
    <x v="1"/>
    <n v="17"/>
    <n v="3"/>
    <n v="3"/>
    <n v="80"/>
    <n v="0"/>
    <n v="10"/>
    <n v="2"/>
    <n v="3"/>
    <x v="6"/>
    <m/>
    <n v="0"/>
    <n v="0"/>
    <n v="0"/>
  </r>
  <r>
    <n v="58"/>
    <x v="1"/>
    <x v="0"/>
    <n v="1145"/>
    <x v="1"/>
    <n v="9"/>
    <n v="3"/>
    <x v="2"/>
    <n v="1"/>
    <n v="214"/>
    <n v="2"/>
    <x v="0"/>
    <n v="75"/>
    <n v="2"/>
    <n v="1"/>
    <x v="1"/>
    <n v="2"/>
    <x v="1"/>
    <n v="3346"/>
    <n v="11873"/>
    <n v="4"/>
    <s v="Y"/>
    <x v="0"/>
    <n v="20"/>
    <n v="4"/>
    <n v="2"/>
    <n v="80"/>
    <n v="1"/>
    <n v="9"/>
    <n v="3"/>
    <n v="2"/>
    <x v="6"/>
    <m/>
    <n v="0"/>
    <n v="0"/>
    <n v="0"/>
  </r>
  <r>
    <n v="40"/>
    <x v="1"/>
    <x v="0"/>
    <n v="630"/>
    <x v="0"/>
    <n v="4"/>
    <n v="4"/>
    <x v="3"/>
    <n v="1"/>
    <n v="215"/>
    <n v="3"/>
    <x v="1"/>
    <n v="67"/>
    <n v="2"/>
    <n v="3"/>
    <x v="0"/>
    <n v="4"/>
    <x v="1"/>
    <n v="10855"/>
    <n v="8552"/>
    <n v="7"/>
    <s v="Y"/>
    <x v="1"/>
    <n v="11"/>
    <n v="3"/>
    <n v="1"/>
    <n v="80"/>
    <n v="1"/>
    <n v="15"/>
    <n v="2"/>
    <n v="2"/>
    <x v="12"/>
    <m/>
    <n v="11"/>
    <n v="2"/>
    <n v="11"/>
  </r>
  <r>
    <n v="34"/>
    <x v="1"/>
    <x v="1"/>
    <n v="303"/>
    <x v="0"/>
    <n v="2"/>
    <n v="4"/>
    <x v="3"/>
    <n v="1"/>
    <n v="216"/>
    <n v="3"/>
    <x v="0"/>
    <n v="75"/>
    <n v="3"/>
    <n v="1"/>
    <x v="6"/>
    <n v="3"/>
    <x v="1"/>
    <n v="2231"/>
    <n v="11314"/>
    <n v="6"/>
    <s v="Y"/>
    <x v="1"/>
    <n v="18"/>
    <n v="3"/>
    <n v="4"/>
    <n v="80"/>
    <n v="1"/>
    <n v="6"/>
    <n v="3"/>
    <n v="3"/>
    <x v="9"/>
    <m/>
    <n v="3"/>
    <n v="1"/>
    <n v="2"/>
  </r>
  <r>
    <n v="22"/>
    <x v="1"/>
    <x v="0"/>
    <n v="1256"/>
    <x v="1"/>
    <n v="19"/>
    <n v="1"/>
    <x v="2"/>
    <n v="1"/>
    <n v="217"/>
    <n v="3"/>
    <x v="1"/>
    <n v="80"/>
    <n v="3"/>
    <n v="1"/>
    <x v="1"/>
    <n v="4"/>
    <x v="1"/>
    <n v="2323"/>
    <n v="11992"/>
    <n v="1"/>
    <s v="Y"/>
    <x v="1"/>
    <n v="24"/>
    <n v="4"/>
    <n v="1"/>
    <n v="80"/>
    <n v="2"/>
    <n v="2"/>
    <n v="6"/>
    <n v="3"/>
    <x v="4"/>
    <m/>
    <n v="2"/>
    <n v="2"/>
    <n v="2"/>
  </r>
  <r>
    <n v="27"/>
    <x v="1"/>
    <x v="2"/>
    <n v="691"/>
    <x v="1"/>
    <n v="9"/>
    <n v="3"/>
    <x v="2"/>
    <n v="1"/>
    <n v="218"/>
    <n v="4"/>
    <x v="1"/>
    <n v="57"/>
    <n v="3"/>
    <n v="1"/>
    <x v="1"/>
    <n v="2"/>
    <x v="2"/>
    <n v="2024"/>
    <n v="5970"/>
    <n v="6"/>
    <s v="Y"/>
    <x v="1"/>
    <n v="18"/>
    <n v="3"/>
    <n v="4"/>
    <n v="80"/>
    <n v="1"/>
    <n v="6"/>
    <n v="1"/>
    <n v="1"/>
    <x v="4"/>
    <m/>
    <n v="2"/>
    <n v="2"/>
    <n v="2"/>
  </r>
  <r>
    <n v="28"/>
    <x v="1"/>
    <x v="0"/>
    <n v="440"/>
    <x v="1"/>
    <n v="21"/>
    <n v="3"/>
    <x v="2"/>
    <n v="1"/>
    <n v="221"/>
    <n v="3"/>
    <x v="1"/>
    <n v="42"/>
    <n v="3"/>
    <n v="1"/>
    <x v="1"/>
    <n v="4"/>
    <x v="1"/>
    <n v="2713"/>
    <n v="6672"/>
    <n v="1"/>
    <s v="Y"/>
    <x v="1"/>
    <n v="11"/>
    <n v="3"/>
    <n v="3"/>
    <n v="80"/>
    <n v="1"/>
    <n v="5"/>
    <n v="2"/>
    <n v="1"/>
    <x v="8"/>
    <m/>
    <n v="2"/>
    <n v="0"/>
    <n v="2"/>
  </r>
  <r>
    <n v="57"/>
    <x v="1"/>
    <x v="0"/>
    <n v="334"/>
    <x v="1"/>
    <n v="24"/>
    <n v="2"/>
    <x v="0"/>
    <n v="1"/>
    <n v="223"/>
    <n v="3"/>
    <x v="1"/>
    <n v="83"/>
    <n v="4"/>
    <n v="3"/>
    <x v="4"/>
    <n v="4"/>
    <x v="2"/>
    <n v="9439"/>
    <n v="23402"/>
    <n v="3"/>
    <s v="Y"/>
    <x v="0"/>
    <n v="16"/>
    <n v="3"/>
    <n v="2"/>
    <n v="80"/>
    <n v="1"/>
    <n v="12"/>
    <n v="2"/>
    <n v="1"/>
    <x v="8"/>
    <m/>
    <n v="3"/>
    <n v="1"/>
    <n v="4"/>
  </r>
  <r>
    <n v="27"/>
    <x v="1"/>
    <x v="2"/>
    <n v="1450"/>
    <x v="1"/>
    <n v="3"/>
    <n v="3"/>
    <x v="2"/>
    <n v="1"/>
    <n v="224"/>
    <n v="3"/>
    <x v="1"/>
    <n v="79"/>
    <n v="2"/>
    <n v="1"/>
    <x v="1"/>
    <n v="3"/>
    <x v="2"/>
    <n v="2566"/>
    <n v="25326"/>
    <n v="1"/>
    <s v="Y"/>
    <x v="0"/>
    <n v="15"/>
    <n v="3"/>
    <n v="4"/>
    <n v="80"/>
    <n v="1"/>
    <n v="1"/>
    <n v="2"/>
    <n v="2"/>
    <x v="6"/>
    <m/>
    <n v="1"/>
    <n v="0"/>
    <n v="1"/>
  </r>
  <r>
    <n v="50"/>
    <x v="1"/>
    <x v="0"/>
    <n v="1452"/>
    <x v="1"/>
    <n v="11"/>
    <n v="3"/>
    <x v="0"/>
    <n v="1"/>
    <n v="226"/>
    <n v="3"/>
    <x v="0"/>
    <n v="53"/>
    <n v="3"/>
    <n v="5"/>
    <x v="5"/>
    <n v="2"/>
    <x v="0"/>
    <n v="19926"/>
    <n v="17053"/>
    <n v="3"/>
    <s v="Y"/>
    <x v="1"/>
    <n v="15"/>
    <n v="3"/>
    <n v="2"/>
    <n v="80"/>
    <n v="0"/>
    <n v="21"/>
    <n v="5"/>
    <n v="3"/>
    <x v="8"/>
    <m/>
    <n v="4"/>
    <n v="4"/>
    <n v="4"/>
  </r>
  <r>
    <n v="41"/>
    <x v="1"/>
    <x v="0"/>
    <n v="465"/>
    <x v="1"/>
    <n v="14"/>
    <n v="3"/>
    <x v="0"/>
    <n v="1"/>
    <n v="227"/>
    <n v="1"/>
    <x v="1"/>
    <n v="56"/>
    <n v="3"/>
    <n v="1"/>
    <x v="1"/>
    <n v="3"/>
    <x v="2"/>
    <n v="2451"/>
    <n v="4609"/>
    <n v="4"/>
    <s v="Y"/>
    <x v="1"/>
    <n v="12"/>
    <n v="3"/>
    <n v="1"/>
    <n v="80"/>
    <n v="1"/>
    <n v="13"/>
    <n v="2"/>
    <n v="3"/>
    <x v="7"/>
    <m/>
    <n v="8"/>
    <n v="1"/>
    <n v="8"/>
  </r>
  <r>
    <n v="30"/>
    <x v="1"/>
    <x v="0"/>
    <n v="1339"/>
    <x v="0"/>
    <n v="5"/>
    <n v="3"/>
    <x v="0"/>
    <n v="1"/>
    <n v="228"/>
    <n v="2"/>
    <x v="0"/>
    <n v="41"/>
    <n v="3"/>
    <n v="3"/>
    <x v="0"/>
    <n v="4"/>
    <x v="1"/>
    <n v="9419"/>
    <n v="8053"/>
    <n v="2"/>
    <s v="Y"/>
    <x v="1"/>
    <n v="12"/>
    <n v="3"/>
    <n v="3"/>
    <n v="80"/>
    <n v="1"/>
    <n v="12"/>
    <n v="2"/>
    <n v="3"/>
    <x v="1"/>
    <m/>
    <n v="9"/>
    <n v="7"/>
    <n v="4"/>
  </r>
  <r>
    <n v="38"/>
    <x v="1"/>
    <x v="0"/>
    <n v="702"/>
    <x v="0"/>
    <n v="1"/>
    <n v="4"/>
    <x v="0"/>
    <n v="1"/>
    <n v="230"/>
    <n v="1"/>
    <x v="0"/>
    <n v="59"/>
    <n v="2"/>
    <n v="2"/>
    <x v="0"/>
    <n v="4"/>
    <x v="0"/>
    <n v="8686"/>
    <n v="12930"/>
    <n v="4"/>
    <s v="Y"/>
    <x v="1"/>
    <n v="22"/>
    <n v="4"/>
    <n v="3"/>
    <n v="80"/>
    <n v="0"/>
    <n v="12"/>
    <n v="2"/>
    <n v="4"/>
    <x v="3"/>
    <m/>
    <n v="3"/>
    <n v="0"/>
    <n v="7"/>
  </r>
  <r>
    <n v="32"/>
    <x v="1"/>
    <x v="0"/>
    <n v="120"/>
    <x v="1"/>
    <n v="6"/>
    <n v="5"/>
    <x v="0"/>
    <n v="1"/>
    <n v="231"/>
    <n v="3"/>
    <x v="1"/>
    <n v="43"/>
    <n v="3"/>
    <n v="1"/>
    <x v="1"/>
    <n v="3"/>
    <x v="0"/>
    <n v="3038"/>
    <n v="12430"/>
    <n v="3"/>
    <s v="Y"/>
    <x v="1"/>
    <n v="20"/>
    <n v="4"/>
    <n v="1"/>
    <n v="80"/>
    <n v="0"/>
    <n v="8"/>
    <n v="2"/>
    <n v="3"/>
    <x v="8"/>
    <m/>
    <n v="4"/>
    <n v="1"/>
    <n v="4"/>
  </r>
  <r>
    <n v="27"/>
    <x v="1"/>
    <x v="0"/>
    <n v="1157"/>
    <x v="1"/>
    <n v="17"/>
    <n v="3"/>
    <x v="4"/>
    <n v="1"/>
    <n v="233"/>
    <n v="3"/>
    <x v="1"/>
    <n v="51"/>
    <n v="3"/>
    <n v="1"/>
    <x v="1"/>
    <n v="2"/>
    <x v="1"/>
    <n v="3058"/>
    <n v="13364"/>
    <n v="0"/>
    <s v="Y"/>
    <x v="0"/>
    <n v="16"/>
    <n v="3"/>
    <n v="4"/>
    <n v="80"/>
    <n v="1"/>
    <n v="6"/>
    <n v="3"/>
    <n v="2"/>
    <x v="8"/>
    <m/>
    <n v="2"/>
    <n v="1"/>
    <n v="1"/>
  </r>
  <r>
    <n v="19"/>
    <x v="0"/>
    <x v="1"/>
    <n v="602"/>
    <x v="0"/>
    <n v="1"/>
    <n v="1"/>
    <x v="4"/>
    <n v="1"/>
    <n v="235"/>
    <n v="3"/>
    <x v="0"/>
    <n v="100"/>
    <n v="1"/>
    <n v="1"/>
    <x v="6"/>
    <n v="1"/>
    <x v="0"/>
    <n v="2325"/>
    <n v="20989"/>
    <n v="0"/>
    <s v="Y"/>
    <x v="1"/>
    <n v="21"/>
    <n v="4"/>
    <n v="1"/>
    <n v="80"/>
    <n v="0"/>
    <n v="1"/>
    <n v="5"/>
    <n v="4"/>
    <x v="2"/>
    <m/>
    <n v="0"/>
    <n v="0"/>
    <n v="0"/>
  </r>
  <r>
    <n v="36"/>
    <x v="1"/>
    <x v="1"/>
    <n v="1480"/>
    <x v="1"/>
    <n v="3"/>
    <n v="2"/>
    <x v="2"/>
    <n v="1"/>
    <n v="238"/>
    <n v="4"/>
    <x v="1"/>
    <n v="30"/>
    <n v="3"/>
    <n v="1"/>
    <x v="2"/>
    <n v="2"/>
    <x v="0"/>
    <n v="2088"/>
    <n v="15062"/>
    <n v="4"/>
    <s v="Y"/>
    <x v="1"/>
    <n v="12"/>
    <n v="3"/>
    <n v="3"/>
    <n v="80"/>
    <n v="0"/>
    <n v="13"/>
    <n v="3"/>
    <n v="2"/>
    <x v="3"/>
    <m/>
    <n v="7"/>
    <n v="7"/>
    <n v="2"/>
  </r>
  <r>
    <n v="30"/>
    <x v="1"/>
    <x v="2"/>
    <n v="111"/>
    <x v="1"/>
    <n v="9"/>
    <n v="3"/>
    <x v="2"/>
    <n v="1"/>
    <n v="239"/>
    <n v="3"/>
    <x v="1"/>
    <n v="66"/>
    <n v="3"/>
    <n v="2"/>
    <x v="2"/>
    <n v="1"/>
    <x v="2"/>
    <n v="3072"/>
    <n v="11012"/>
    <n v="1"/>
    <s v="Y"/>
    <x v="1"/>
    <n v="11"/>
    <n v="3"/>
    <n v="3"/>
    <n v="80"/>
    <n v="2"/>
    <n v="12"/>
    <n v="4"/>
    <n v="3"/>
    <x v="12"/>
    <m/>
    <n v="9"/>
    <n v="6"/>
    <n v="10"/>
  </r>
  <r>
    <n v="45"/>
    <x v="1"/>
    <x v="0"/>
    <n v="1268"/>
    <x v="0"/>
    <n v="4"/>
    <n v="2"/>
    <x v="0"/>
    <n v="1"/>
    <n v="240"/>
    <n v="3"/>
    <x v="0"/>
    <n v="30"/>
    <n v="3"/>
    <n v="2"/>
    <x v="0"/>
    <n v="1"/>
    <x v="2"/>
    <n v="5006"/>
    <n v="6319"/>
    <n v="4"/>
    <s v="Y"/>
    <x v="0"/>
    <n v="11"/>
    <n v="3"/>
    <n v="1"/>
    <n v="80"/>
    <n v="1"/>
    <n v="9"/>
    <n v="3"/>
    <n v="4"/>
    <x v="8"/>
    <m/>
    <n v="4"/>
    <n v="0"/>
    <n v="3"/>
  </r>
  <r>
    <n v="56"/>
    <x v="1"/>
    <x v="0"/>
    <n v="713"/>
    <x v="1"/>
    <n v="8"/>
    <n v="3"/>
    <x v="0"/>
    <n v="1"/>
    <n v="241"/>
    <n v="3"/>
    <x v="0"/>
    <n v="67"/>
    <n v="3"/>
    <n v="1"/>
    <x v="1"/>
    <n v="1"/>
    <x v="2"/>
    <n v="4257"/>
    <n v="13939"/>
    <n v="4"/>
    <s v="Y"/>
    <x v="0"/>
    <n v="18"/>
    <n v="3"/>
    <n v="3"/>
    <n v="80"/>
    <n v="1"/>
    <n v="19"/>
    <n v="3"/>
    <n v="3"/>
    <x v="4"/>
    <m/>
    <n v="2"/>
    <n v="2"/>
    <n v="2"/>
  </r>
  <r>
    <n v="33"/>
    <x v="1"/>
    <x v="0"/>
    <n v="134"/>
    <x v="1"/>
    <n v="2"/>
    <n v="3"/>
    <x v="0"/>
    <n v="1"/>
    <n v="242"/>
    <n v="3"/>
    <x v="1"/>
    <n v="90"/>
    <n v="3"/>
    <n v="1"/>
    <x v="1"/>
    <n v="4"/>
    <x v="0"/>
    <n v="2500"/>
    <n v="10515"/>
    <n v="0"/>
    <s v="Y"/>
    <x v="1"/>
    <n v="14"/>
    <n v="3"/>
    <n v="1"/>
    <n v="80"/>
    <n v="0"/>
    <n v="4"/>
    <n v="2"/>
    <n v="4"/>
    <x v="11"/>
    <m/>
    <n v="1"/>
    <n v="0"/>
    <n v="2"/>
  </r>
  <r>
    <n v="19"/>
    <x v="0"/>
    <x v="0"/>
    <n v="303"/>
    <x v="1"/>
    <n v="2"/>
    <n v="3"/>
    <x v="0"/>
    <n v="1"/>
    <n v="243"/>
    <n v="2"/>
    <x v="1"/>
    <n v="47"/>
    <n v="2"/>
    <n v="1"/>
    <x v="2"/>
    <n v="4"/>
    <x v="0"/>
    <n v="1102"/>
    <n v="9241"/>
    <n v="1"/>
    <s v="Y"/>
    <x v="1"/>
    <n v="22"/>
    <n v="4"/>
    <n v="3"/>
    <n v="80"/>
    <n v="0"/>
    <n v="1"/>
    <n v="3"/>
    <n v="2"/>
    <x v="6"/>
    <m/>
    <n v="0"/>
    <n v="1"/>
    <n v="0"/>
  </r>
  <r>
    <n v="46"/>
    <x v="1"/>
    <x v="0"/>
    <n v="526"/>
    <x v="0"/>
    <n v="1"/>
    <n v="2"/>
    <x v="3"/>
    <n v="1"/>
    <n v="244"/>
    <n v="2"/>
    <x v="0"/>
    <n v="92"/>
    <n v="3"/>
    <n v="3"/>
    <x v="0"/>
    <n v="1"/>
    <x v="2"/>
    <n v="10453"/>
    <n v="2137"/>
    <n v="1"/>
    <s v="Y"/>
    <x v="1"/>
    <n v="25"/>
    <n v="4"/>
    <n v="3"/>
    <n v="80"/>
    <n v="3"/>
    <n v="24"/>
    <n v="2"/>
    <n v="3"/>
    <x v="25"/>
    <m/>
    <n v="13"/>
    <n v="15"/>
    <n v="7"/>
  </r>
  <r>
    <n v="38"/>
    <x v="1"/>
    <x v="0"/>
    <n v="1380"/>
    <x v="1"/>
    <n v="9"/>
    <n v="2"/>
    <x v="0"/>
    <n v="1"/>
    <n v="245"/>
    <n v="3"/>
    <x v="0"/>
    <n v="75"/>
    <n v="3"/>
    <n v="1"/>
    <x v="2"/>
    <n v="4"/>
    <x v="0"/>
    <n v="2288"/>
    <n v="6319"/>
    <n v="1"/>
    <s v="Y"/>
    <x v="1"/>
    <n v="12"/>
    <n v="3"/>
    <n v="3"/>
    <n v="80"/>
    <n v="0"/>
    <n v="2"/>
    <n v="3"/>
    <n v="3"/>
    <x v="4"/>
    <m/>
    <n v="2"/>
    <n v="2"/>
    <n v="1"/>
  </r>
  <r>
    <n v="31"/>
    <x v="1"/>
    <x v="0"/>
    <n v="140"/>
    <x v="1"/>
    <n v="12"/>
    <n v="1"/>
    <x v="2"/>
    <n v="1"/>
    <n v="246"/>
    <n v="3"/>
    <x v="0"/>
    <n v="95"/>
    <n v="3"/>
    <n v="1"/>
    <x v="1"/>
    <n v="4"/>
    <x v="1"/>
    <n v="3929"/>
    <n v="6984"/>
    <n v="8"/>
    <s v="Y"/>
    <x v="0"/>
    <n v="23"/>
    <n v="4"/>
    <n v="3"/>
    <n v="80"/>
    <n v="1"/>
    <n v="7"/>
    <n v="0"/>
    <n v="3"/>
    <x v="9"/>
    <m/>
    <n v="2"/>
    <n v="0"/>
    <n v="2"/>
  </r>
  <r>
    <n v="34"/>
    <x v="1"/>
    <x v="0"/>
    <n v="629"/>
    <x v="1"/>
    <n v="27"/>
    <n v="2"/>
    <x v="2"/>
    <n v="1"/>
    <n v="247"/>
    <n v="4"/>
    <x v="0"/>
    <n v="95"/>
    <n v="3"/>
    <n v="1"/>
    <x v="1"/>
    <n v="2"/>
    <x v="0"/>
    <n v="2311"/>
    <n v="5711"/>
    <n v="2"/>
    <s v="Y"/>
    <x v="1"/>
    <n v="15"/>
    <n v="3"/>
    <n v="4"/>
    <n v="80"/>
    <n v="0"/>
    <n v="9"/>
    <n v="3"/>
    <n v="3"/>
    <x v="11"/>
    <m/>
    <n v="2"/>
    <n v="1"/>
    <n v="2"/>
  </r>
  <r>
    <n v="41"/>
    <x v="0"/>
    <x v="0"/>
    <n v="1356"/>
    <x v="0"/>
    <n v="20"/>
    <n v="2"/>
    <x v="3"/>
    <n v="1"/>
    <n v="248"/>
    <n v="2"/>
    <x v="0"/>
    <n v="70"/>
    <n v="3"/>
    <n v="1"/>
    <x v="6"/>
    <n v="2"/>
    <x v="0"/>
    <n v="3140"/>
    <n v="21728"/>
    <n v="1"/>
    <s v="Y"/>
    <x v="0"/>
    <n v="22"/>
    <n v="4"/>
    <n v="4"/>
    <n v="80"/>
    <n v="0"/>
    <n v="4"/>
    <n v="5"/>
    <n v="2"/>
    <x v="9"/>
    <m/>
    <n v="3"/>
    <n v="0"/>
    <n v="2"/>
  </r>
  <r>
    <n v="50"/>
    <x v="1"/>
    <x v="0"/>
    <n v="328"/>
    <x v="1"/>
    <n v="1"/>
    <n v="3"/>
    <x v="2"/>
    <n v="1"/>
    <n v="249"/>
    <n v="3"/>
    <x v="1"/>
    <n v="86"/>
    <n v="2"/>
    <n v="1"/>
    <x v="2"/>
    <n v="3"/>
    <x v="1"/>
    <n v="3690"/>
    <n v="3425"/>
    <n v="2"/>
    <s v="Y"/>
    <x v="1"/>
    <n v="15"/>
    <n v="3"/>
    <n v="4"/>
    <n v="80"/>
    <n v="1"/>
    <n v="5"/>
    <n v="2"/>
    <n v="2"/>
    <x v="11"/>
    <m/>
    <n v="2"/>
    <n v="0"/>
    <n v="2"/>
  </r>
  <r>
    <n v="53"/>
    <x v="1"/>
    <x v="0"/>
    <n v="1084"/>
    <x v="1"/>
    <n v="13"/>
    <n v="2"/>
    <x v="2"/>
    <n v="1"/>
    <n v="250"/>
    <n v="4"/>
    <x v="0"/>
    <n v="57"/>
    <n v="4"/>
    <n v="2"/>
    <x v="3"/>
    <n v="1"/>
    <x v="2"/>
    <n v="4450"/>
    <n v="26250"/>
    <n v="1"/>
    <s v="Y"/>
    <x v="1"/>
    <n v="11"/>
    <n v="3"/>
    <n v="3"/>
    <n v="80"/>
    <n v="2"/>
    <n v="5"/>
    <n v="3"/>
    <n v="3"/>
    <x v="9"/>
    <m/>
    <n v="2"/>
    <n v="1"/>
    <n v="3"/>
  </r>
  <r>
    <n v="33"/>
    <x v="1"/>
    <x v="0"/>
    <n v="931"/>
    <x v="1"/>
    <n v="14"/>
    <n v="3"/>
    <x v="2"/>
    <n v="1"/>
    <n v="252"/>
    <n v="4"/>
    <x v="0"/>
    <n v="72"/>
    <n v="3"/>
    <n v="1"/>
    <x v="1"/>
    <n v="2"/>
    <x v="1"/>
    <n v="2756"/>
    <n v="4673"/>
    <n v="1"/>
    <s v="Y"/>
    <x v="1"/>
    <n v="13"/>
    <n v="3"/>
    <n v="4"/>
    <n v="80"/>
    <n v="1"/>
    <n v="8"/>
    <n v="5"/>
    <n v="3"/>
    <x v="3"/>
    <m/>
    <n v="7"/>
    <n v="1"/>
    <n v="6"/>
  </r>
  <r>
    <n v="40"/>
    <x v="1"/>
    <x v="0"/>
    <n v="989"/>
    <x v="1"/>
    <n v="4"/>
    <n v="1"/>
    <x v="2"/>
    <n v="1"/>
    <n v="253"/>
    <n v="4"/>
    <x v="0"/>
    <n v="46"/>
    <n v="3"/>
    <n v="5"/>
    <x v="5"/>
    <n v="3"/>
    <x v="1"/>
    <n v="19033"/>
    <n v="6499"/>
    <n v="1"/>
    <s v="Y"/>
    <x v="1"/>
    <n v="14"/>
    <n v="3"/>
    <n v="2"/>
    <n v="80"/>
    <n v="1"/>
    <n v="21"/>
    <n v="2"/>
    <n v="3"/>
    <x v="23"/>
    <m/>
    <n v="8"/>
    <n v="9"/>
    <n v="9"/>
  </r>
  <r>
    <n v="55"/>
    <x v="1"/>
    <x v="0"/>
    <n v="692"/>
    <x v="1"/>
    <n v="14"/>
    <n v="4"/>
    <x v="2"/>
    <n v="1"/>
    <n v="254"/>
    <n v="3"/>
    <x v="1"/>
    <n v="61"/>
    <n v="4"/>
    <n v="5"/>
    <x v="7"/>
    <n v="2"/>
    <x v="0"/>
    <n v="18722"/>
    <n v="13339"/>
    <n v="8"/>
    <s v="Y"/>
    <x v="1"/>
    <n v="11"/>
    <n v="3"/>
    <n v="4"/>
    <n v="80"/>
    <n v="0"/>
    <n v="36"/>
    <n v="3"/>
    <n v="3"/>
    <x v="25"/>
    <m/>
    <n v="15"/>
    <n v="2"/>
    <n v="15"/>
  </r>
  <r>
    <n v="34"/>
    <x v="1"/>
    <x v="1"/>
    <n v="1069"/>
    <x v="1"/>
    <n v="2"/>
    <n v="1"/>
    <x v="0"/>
    <n v="1"/>
    <n v="256"/>
    <n v="4"/>
    <x v="1"/>
    <n v="45"/>
    <n v="2"/>
    <n v="2"/>
    <x v="3"/>
    <n v="3"/>
    <x v="1"/>
    <n v="9547"/>
    <n v="14074"/>
    <n v="1"/>
    <s v="Y"/>
    <x v="1"/>
    <n v="17"/>
    <n v="3"/>
    <n v="3"/>
    <n v="80"/>
    <n v="0"/>
    <n v="10"/>
    <n v="2"/>
    <n v="2"/>
    <x v="1"/>
    <m/>
    <n v="9"/>
    <n v="1"/>
    <n v="9"/>
  </r>
  <r>
    <n v="51"/>
    <x v="1"/>
    <x v="0"/>
    <n v="313"/>
    <x v="1"/>
    <n v="3"/>
    <n v="3"/>
    <x v="2"/>
    <n v="1"/>
    <n v="258"/>
    <n v="4"/>
    <x v="0"/>
    <n v="98"/>
    <n v="3"/>
    <n v="4"/>
    <x v="4"/>
    <n v="2"/>
    <x v="0"/>
    <n v="13734"/>
    <n v="7192"/>
    <n v="3"/>
    <s v="Y"/>
    <x v="1"/>
    <n v="18"/>
    <n v="3"/>
    <n v="3"/>
    <n v="80"/>
    <n v="0"/>
    <n v="21"/>
    <n v="6"/>
    <n v="3"/>
    <x v="5"/>
    <m/>
    <n v="7"/>
    <n v="1"/>
    <n v="0"/>
  </r>
  <r>
    <n v="52"/>
    <x v="1"/>
    <x v="0"/>
    <n v="699"/>
    <x v="1"/>
    <n v="1"/>
    <n v="4"/>
    <x v="0"/>
    <n v="1"/>
    <n v="259"/>
    <n v="3"/>
    <x v="1"/>
    <n v="65"/>
    <n v="2"/>
    <n v="5"/>
    <x v="5"/>
    <n v="3"/>
    <x v="1"/>
    <n v="19999"/>
    <n v="5678"/>
    <n v="0"/>
    <s v="Y"/>
    <x v="1"/>
    <n v="14"/>
    <n v="3"/>
    <n v="1"/>
    <n v="80"/>
    <n v="1"/>
    <n v="34"/>
    <n v="5"/>
    <n v="3"/>
    <x v="26"/>
    <m/>
    <n v="18"/>
    <n v="11"/>
    <n v="9"/>
  </r>
  <r>
    <n v="27"/>
    <x v="1"/>
    <x v="0"/>
    <n v="894"/>
    <x v="1"/>
    <n v="9"/>
    <n v="3"/>
    <x v="2"/>
    <n v="1"/>
    <n v="260"/>
    <n v="4"/>
    <x v="0"/>
    <n v="99"/>
    <n v="3"/>
    <n v="1"/>
    <x v="1"/>
    <n v="2"/>
    <x v="0"/>
    <n v="2279"/>
    <n v="11781"/>
    <n v="1"/>
    <s v="Y"/>
    <x v="1"/>
    <n v="16"/>
    <n v="3"/>
    <n v="4"/>
    <n v="80"/>
    <n v="0"/>
    <n v="7"/>
    <n v="2"/>
    <n v="2"/>
    <x v="5"/>
    <m/>
    <n v="7"/>
    <n v="0"/>
    <n v="3"/>
  </r>
  <r>
    <n v="35"/>
    <x v="0"/>
    <x v="0"/>
    <n v="556"/>
    <x v="1"/>
    <n v="23"/>
    <n v="2"/>
    <x v="0"/>
    <n v="1"/>
    <n v="261"/>
    <n v="2"/>
    <x v="1"/>
    <n v="50"/>
    <n v="2"/>
    <n v="2"/>
    <x v="3"/>
    <n v="3"/>
    <x v="1"/>
    <n v="5916"/>
    <n v="15497"/>
    <n v="3"/>
    <s v="Y"/>
    <x v="0"/>
    <n v="13"/>
    <n v="3"/>
    <n v="1"/>
    <n v="80"/>
    <n v="0"/>
    <n v="8"/>
    <n v="1"/>
    <n v="3"/>
    <x v="6"/>
    <m/>
    <n v="0"/>
    <n v="0"/>
    <n v="1"/>
  </r>
  <r>
    <n v="43"/>
    <x v="1"/>
    <x v="2"/>
    <n v="1344"/>
    <x v="1"/>
    <n v="7"/>
    <n v="3"/>
    <x v="2"/>
    <n v="1"/>
    <n v="262"/>
    <n v="4"/>
    <x v="1"/>
    <n v="37"/>
    <n v="4"/>
    <n v="1"/>
    <x v="1"/>
    <n v="4"/>
    <x v="2"/>
    <n v="2089"/>
    <n v="5228"/>
    <n v="4"/>
    <s v="Y"/>
    <x v="1"/>
    <n v="14"/>
    <n v="3"/>
    <n v="4"/>
    <n v="80"/>
    <n v="3"/>
    <n v="7"/>
    <n v="3"/>
    <n v="4"/>
    <x v="8"/>
    <m/>
    <n v="4"/>
    <n v="2"/>
    <n v="2"/>
  </r>
  <r>
    <n v="45"/>
    <x v="1"/>
    <x v="2"/>
    <n v="1195"/>
    <x v="1"/>
    <n v="2"/>
    <n v="2"/>
    <x v="2"/>
    <n v="1"/>
    <n v="264"/>
    <n v="1"/>
    <x v="1"/>
    <n v="65"/>
    <n v="2"/>
    <n v="4"/>
    <x v="5"/>
    <n v="4"/>
    <x v="1"/>
    <n v="16792"/>
    <n v="20462"/>
    <n v="9"/>
    <s v="Y"/>
    <x v="1"/>
    <n v="23"/>
    <n v="4"/>
    <n v="4"/>
    <n v="80"/>
    <n v="1"/>
    <n v="22"/>
    <n v="1"/>
    <n v="3"/>
    <x v="23"/>
    <m/>
    <n v="8"/>
    <n v="11"/>
    <n v="8"/>
  </r>
  <r>
    <n v="37"/>
    <x v="1"/>
    <x v="0"/>
    <n v="290"/>
    <x v="1"/>
    <n v="21"/>
    <n v="3"/>
    <x v="0"/>
    <n v="1"/>
    <n v="267"/>
    <n v="2"/>
    <x v="1"/>
    <n v="65"/>
    <n v="4"/>
    <n v="1"/>
    <x v="1"/>
    <n v="1"/>
    <x v="1"/>
    <n v="3564"/>
    <n v="22977"/>
    <n v="1"/>
    <s v="Y"/>
    <x v="0"/>
    <n v="12"/>
    <n v="3"/>
    <n v="1"/>
    <n v="80"/>
    <n v="1"/>
    <n v="8"/>
    <n v="3"/>
    <n v="2"/>
    <x v="3"/>
    <m/>
    <n v="7"/>
    <n v="1"/>
    <n v="7"/>
  </r>
  <r>
    <n v="35"/>
    <x v="1"/>
    <x v="1"/>
    <n v="138"/>
    <x v="1"/>
    <n v="2"/>
    <n v="3"/>
    <x v="2"/>
    <n v="1"/>
    <n v="269"/>
    <n v="2"/>
    <x v="0"/>
    <n v="37"/>
    <n v="3"/>
    <n v="2"/>
    <x v="2"/>
    <n v="2"/>
    <x v="0"/>
    <n v="4425"/>
    <n v="15986"/>
    <n v="5"/>
    <s v="Y"/>
    <x v="1"/>
    <n v="11"/>
    <n v="3"/>
    <n v="4"/>
    <n v="80"/>
    <n v="0"/>
    <n v="10"/>
    <n v="5"/>
    <n v="3"/>
    <x v="0"/>
    <m/>
    <n v="2"/>
    <n v="1"/>
    <n v="2"/>
  </r>
  <r>
    <n v="42"/>
    <x v="1"/>
    <x v="2"/>
    <n v="926"/>
    <x v="1"/>
    <n v="21"/>
    <n v="2"/>
    <x v="2"/>
    <n v="1"/>
    <n v="270"/>
    <n v="3"/>
    <x v="0"/>
    <n v="36"/>
    <n v="3"/>
    <n v="2"/>
    <x v="3"/>
    <n v="3"/>
    <x v="2"/>
    <n v="5265"/>
    <n v="16439"/>
    <n v="2"/>
    <s v="Y"/>
    <x v="1"/>
    <n v="16"/>
    <n v="3"/>
    <n v="2"/>
    <n v="80"/>
    <n v="1"/>
    <n v="11"/>
    <n v="5"/>
    <n v="3"/>
    <x v="8"/>
    <m/>
    <n v="3"/>
    <n v="0"/>
    <n v="2"/>
  </r>
  <r>
    <n v="38"/>
    <x v="1"/>
    <x v="0"/>
    <n v="1261"/>
    <x v="1"/>
    <n v="2"/>
    <n v="4"/>
    <x v="0"/>
    <n v="1"/>
    <n v="271"/>
    <n v="4"/>
    <x v="1"/>
    <n v="88"/>
    <n v="3"/>
    <n v="2"/>
    <x v="3"/>
    <n v="3"/>
    <x v="1"/>
    <n v="6553"/>
    <n v="7259"/>
    <n v="9"/>
    <s v="Y"/>
    <x v="1"/>
    <n v="14"/>
    <n v="3"/>
    <n v="2"/>
    <n v="80"/>
    <n v="0"/>
    <n v="14"/>
    <n v="3"/>
    <n v="3"/>
    <x v="6"/>
    <m/>
    <n v="0"/>
    <n v="0"/>
    <n v="0"/>
  </r>
  <r>
    <n v="38"/>
    <x v="1"/>
    <x v="0"/>
    <n v="1084"/>
    <x v="1"/>
    <n v="29"/>
    <n v="3"/>
    <x v="4"/>
    <n v="1"/>
    <n v="273"/>
    <n v="4"/>
    <x v="1"/>
    <n v="54"/>
    <n v="3"/>
    <n v="2"/>
    <x v="3"/>
    <n v="4"/>
    <x v="1"/>
    <n v="6261"/>
    <n v="4185"/>
    <n v="3"/>
    <s v="Y"/>
    <x v="1"/>
    <n v="18"/>
    <n v="3"/>
    <n v="1"/>
    <n v="80"/>
    <n v="1"/>
    <n v="9"/>
    <n v="3"/>
    <n v="1"/>
    <x v="5"/>
    <m/>
    <n v="7"/>
    <n v="1"/>
    <n v="7"/>
  </r>
  <r>
    <n v="27"/>
    <x v="1"/>
    <x v="1"/>
    <n v="472"/>
    <x v="1"/>
    <n v="1"/>
    <n v="1"/>
    <x v="4"/>
    <n v="1"/>
    <n v="274"/>
    <n v="3"/>
    <x v="1"/>
    <n v="60"/>
    <n v="2"/>
    <n v="2"/>
    <x v="3"/>
    <n v="1"/>
    <x v="1"/>
    <n v="4298"/>
    <n v="9679"/>
    <n v="5"/>
    <s v="Y"/>
    <x v="1"/>
    <n v="19"/>
    <n v="3"/>
    <n v="3"/>
    <n v="80"/>
    <n v="1"/>
    <n v="6"/>
    <n v="1"/>
    <n v="3"/>
    <x v="4"/>
    <m/>
    <n v="2"/>
    <n v="2"/>
    <n v="0"/>
  </r>
  <r>
    <n v="49"/>
    <x v="1"/>
    <x v="2"/>
    <n v="1002"/>
    <x v="1"/>
    <n v="18"/>
    <n v="4"/>
    <x v="0"/>
    <n v="1"/>
    <n v="275"/>
    <n v="4"/>
    <x v="1"/>
    <n v="92"/>
    <n v="3"/>
    <n v="2"/>
    <x v="3"/>
    <n v="4"/>
    <x v="2"/>
    <n v="6804"/>
    <n v="23793"/>
    <n v="1"/>
    <s v="Y"/>
    <x v="0"/>
    <n v="15"/>
    <n v="3"/>
    <n v="1"/>
    <n v="80"/>
    <n v="2"/>
    <n v="7"/>
    <n v="0"/>
    <n v="3"/>
    <x v="5"/>
    <m/>
    <n v="7"/>
    <n v="1"/>
    <n v="7"/>
  </r>
  <r>
    <n v="34"/>
    <x v="1"/>
    <x v="1"/>
    <n v="878"/>
    <x v="1"/>
    <n v="10"/>
    <n v="4"/>
    <x v="2"/>
    <n v="1"/>
    <n v="277"/>
    <n v="4"/>
    <x v="1"/>
    <n v="43"/>
    <n v="3"/>
    <n v="1"/>
    <x v="1"/>
    <n v="3"/>
    <x v="2"/>
    <n v="3815"/>
    <n v="5972"/>
    <n v="1"/>
    <s v="Y"/>
    <x v="0"/>
    <n v="17"/>
    <n v="3"/>
    <n v="4"/>
    <n v="80"/>
    <n v="1"/>
    <n v="5"/>
    <n v="4"/>
    <n v="4"/>
    <x v="8"/>
    <m/>
    <n v="3"/>
    <n v="2"/>
    <n v="0"/>
  </r>
  <r>
    <n v="40"/>
    <x v="1"/>
    <x v="0"/>
    <n v="905"/>
    <x v="1"/>
    <n v="19"/>
    <n v="2"/>
    <x v="2"/>
    <n v="1"/>
    <n v="281"/>
    <n v="3"/>
    <x v="1"/>
    <n v="99"/>
    <n v="3"/>
    <n v="2"/>
    <x v="2"/>
    <n v="4"/>
    <x v="1"/>
    <n v="2741"/>
    <n v="16523"/>
    <n v="8"/>
    <s v="Y"/>
    <x v="0"/>
    <n v="15"/>
    <n v="3"/>
    <n v="3"/>
    <n v="80"/>
    <n v="1"/>
    <n v="15"/>
    <n v="2"/>
    <n v="4"/>
    <x v="5"/>
    <m/>
    <n v="2"/>
    <n v="3"/>
    <n v="7"/>
  </r>
  <r>
    <n v="38"/>
    <x v="0"/>
    <x v="0"/>
    <n v="1180"/>
    <x v="1"/>
    <n v="29"/>
    <n v="1"/>
    <x v="2"/>
    <n v="1"/>
    <n v="282"/>
    <n v="2"/>
    <x v="1"/>
    <n v="70"/>
    <n v="3"/>
    <n v="2"/>
    <x v="4"/>
    <n v="1"/>
    <x v="1"/>
    <n v="6673"/>
    <n v="11354"/>
    <n v="7"/>
    <s v="Y"/>
    <x v="0"/>
    <n v="19"/>
    <n v="3"/>
    <n v="2"/>
    <n v="80"/>
    <n v="0"/>
    <n v="17"/>
    <n v="2"/>
    <n v="3"/>
    <x v="6"/>
    <m/>
    <n v="0"/>
    <n v="0"/>
    <n v="0"/>
  </r>
  <r>
    <n v="29"/>
    <x v="0"/>
    <x v="0"/>
    <n v="121"/>
    <x v="0"/>
    <n v="27"/>
    <n v="3"/>
    <x v="3"/>
    <n v="1"/>
    <n v="283"/>
    <n v="2"/>
    <x v="0"/>
    <n v="35"/>
    <n v="3"/>
    <n v="3"/>
    <x v="0"/>
    <n v="4"/>
    <x v="1"/>
    <n v="7639"/>
    <n v="24525"/>
    <n v="1"/>
    <s v="Y"/>
    <x v="1"/>
    <n v="22"/>
    <n v="4"/>
    <n v="4"/>
    <n v="80"/>
    <n v="3"/>
    <n v="10"/>
    <n v="3"/>
    <n v="2"/>
    <x v="1"/>
    <m/>
    <n v="4"/>
    <n v="1"/>
    <n v="9"/>
  </r>
  <r>
    <n v="22"/>
    <x v="1"/>
    <x v="0"/>
    <n v="1136"/>
    <x v="1"/>
    <n v="5"/>
    <n v="3"/>
    <x v="0"/>
    <n v="1"/>
    <n v="284"/>
    <n v="4"/>
    <x v="1"/>
    <n v="60"/>
    <n v="4"/>
    <n v="1"/>
    <x v="1"/>
    <n v="2"/>
    <x v="2"/>
    <n v="2328"/>
    <n v="12392"/>
    <n v="1"/>
    <s v="Y"/>
    <x v="0"/>
    <n v="16"/>
    <n v="3"/>
    <n v="1"/>
    <n v="80"/>
    <n v="1"/>
    <n v="4"/>
    <n v="2"/>
    <n v="2"/>
    <x v="9"/>
    <m/>
    <n v="2"/>
    <n v="2"/>
    <n v="2"/>
  </r>
  <r>
    <n v="36"/>
    <x v="1"/>
    <x v="1"/>
    <n v="635"/>
    <x v="1"/>
    <n v="18"/>
    <n v="1"/>
    <x v="2"/>
    <n v="1"/>
    <n v="286"/>
    <n v="2"/>
    <x v="0"/>
    <n v="73"/>
    <n v="3"/>
    <n v="1"/>
    <x v="2"/>
    <n v="4"/>
    <x v="0"/>
    <n v="2153"/>
    <n v="7703"/>
    <n v="1"/>
    <s v="Y"/>
    <x v="1"/>
    <n v="13"/>
    <n v="3"/>
    <n v="1"/>
    <n v="80"/>
    <n v="0"/>
    <n v="8"/>
    <n v="2"/>
    <n v="3"/>
    <x v="3"/>
    <m/>
    <n v="1"/>
    <n v="1"/>
    <n v="7"/>
  </r>
  <r>
    <n v="40"/>
    <x v="1"/>
    <x v="2"/>
    <n v="1151"/>
    <x v="1"/>
    <n v="9"/>
    <n v="5"/>
    <x v="0"/>
    <n v="1"/>
    <n v="287"/>
    <n v="4"/>
    <x v="1"/>
    <n v="63"/>
    <n v="2"/>
    <n v="2"/>
    <x v="4"/>
    <n v="4"/>
    <x v="1"/>
    <n v="4876"/>
    <n v="14242"/>
    <n v="9"/>
    <s v="Y"/>
    <x v="1"/>
    <n v="14"/>
    <n v="3"/>
    <n v="4"/>
    <n v="80"/>
    <n v="1"/>
    <n v="5"/>
    <n v="5"/>
    <n v="1"/>
    <x v="11"/>
    <m/>
    <n v="2"/>
    <n v="0"/>
    <n v="2"/>
  </r>
  <r>
    <n v="46"/>
    <x v="1"/>
    <x v="0"/>
    <n v="644"/>
    <x v="1"/>
    <n v="1"/>
    <n v="4"/>
    <x v="2"/>
    <n v="1"/>
    <n v="288"/>
    <n v="4"/>
    <x v="1"/>
    <n v="97"/>
    <n v="3"/>
    <n v="3"/>
    <x v="4"/>
    <n v="1"/>
    <x v="2"/>
    <n v="9396"/>
    <n v="12368"/>
    <n v="7"/>
    <s v="Y"/>
    <x v="1"/>
    <n v="16"/>
    <n v="3"/>
    <n v="3"/>
    <n v="80"/>
    <n v="1"/>
    <n v="17"/>
    <n v="3"/>
    <n v="3"/>
    <x v="9"/>
    <m/>
    <n v="2"/>
    <n v="0"/>
    <n v="3"/>
  </r>
  <r>
    <n v="32"/>
    <x v="0"/>
    <x v="0"/>
    <n v="1045"/>
    <x v="0"/>
    <n v="4"/>
    <n v="4"/>
    <x v="2"/>
    <n v="1"/>
    <n v="291"/>
    <n v="4"/>
    <x v="1"/>
    <n v="32"/>
    <n v="1"/>
    <n v="3"/>
    <x v="0"/>
    <n v="4"/>
    <x v="1"/>
    <n v="10400"/>
    <n v="25812"/>
    <n v="1"/>
    <s v="Y"/>
    <x v="1"/>
    <n v="11"/>
    <n v="3"/>
    <n v="3"/>
    <n v="80"/>
    <n v="0"/>
    <n v="14"/>
    <n v="2"/>
    <n v="2"/>
    <x v="13"/>
    <m/>
    <n v="8"/>
    <n v="9"/>
    <n v="8"/>
  </r>
  <r>
    <n v="30"/>
    <x v="1"/>
    <x v="2"/>
    <n v="829"/>
    <x v="1"/>
    <n v="1"/>
    <n v="1"/>
    <x v="0"/>
    <n v="1"/>
    <n v="292"/>
    <n v="3"/>
    <x v="1"/>
    <n v="88"/>
    <n v="2"/>
    <n v="3"/>
    <x v="3"/>
    <n v="3"/>
    <x v="0"/>
    <n v="8474"/>
    <n v="20925"/>
    <n v="1"/>
    <s v="Y"/>
    <x v="1"/>
    <n v="22"/>
    <n v="4"/>
    <n v="3"/>
    <n v="80"/>
    <n v="0"/>
    <n v="12"/>
    <n v="2"/>
    <n v="3"/>
    <x v="19"/>
    <m/>
    <n v="8"/>
    <n v="5"/>
    <n v="8"/>
  </r>
  <r>
    <n v="27"/>
    <x v="1"/>
    <x v="1"/>
    <n v="1242"/>
    <x v="0"/>
    <n v="20"/>
    <n v="3"/>
    <x v="0"/>
    <n v="1"/>
    <n v="293"/>
    <n v="4"/>
    <x v="0"/>
    <n v="90"/>
    <n v="3"/>
    <n v="2"/>
    <x v="0"/>
    <n v="3"/>
    <x v="0"/>
    <n v="9981"/>
    <n v="12916"/>
    <n v="1"/>
    <s v="Y"/>
    <x v="1"/>
    <n v="14"/>
    <n v="3"/>
    <n v="4"/>
    <n v="80"/>
    <n v="0"/>
    <n v="7"/>
    <n v="2"/>
    <n v="3"/>
    <x v="5"/>
    <m/>
    <n v="7"/>
    <n v="0"/>
    <n v="7"/>
  </r>
  <r>
    <n v="51"/>
    <x v="1"/>
    <x v="0"/>
    <n v="1469"/>
    <x v="1"/>
    <n v="8"/>
    <n v="4"/>
    <x v="0"/>
    <n v="1"/>
    <n v="296"/>
    <n v="2"/>
    <x v="1"/>
    <n v="81"/>
    <n v="2"/>
    <n v="3"/>
    <x v="7"/>
    <n v="2"/>
    <x v="1"/>
    <n v="12490"/>
    <n v="15736"/>
    <n v="5"/>
    <s v="Y"/>
    <x v="1"/>
    <n v="16"/>
    <n v="3"/>
    <n v="4"/>
    <n v="80"/>
    <n v="2"/>
    <n v="16"/>
    <n v="5"/>
    <n v="1"/>
    <x v="1"/>
    <m/>
    <n v="9"/>
    <n v="4"/>
    <n v="7"/>
  </r>
  <r>
    <n v="30"/>
    <x v="0"/>
    <x v="0"/>
    <n v="1005"/>
    <x v="1"/>
    <n v="3"/>
    <n v="3"/>
    <x v="4"/>
    <n v="1"/>
    <n v="297"/>
    <n v="4"/>
    <x v="0"/>
    <n v="88"/>
    <n v="3"/>
    <n v="1"/>
    <x v="1"/>
    <n v="1"/>
    <x v="0"/>
    <n v="2657"/>
    <n v="8556"/>
    <n v="5"/>
    <s v="Y"/>
    <x v="0"/>
    <n v="11"/>
    <n v="3"/>
    <n v="3"/>
    <n v="80"/>
    <n v="0"/>
    <n v="8"/>
    <n v="5"/>
    <n v="3"/>
    <x v="8"/>
    <m/>
    <n v="2"/>
    <n v="0"/>
    <n v="4"/>
  </r>
  <r>
    <n v="41"/>
    <x v="1"/>
    <x v="0"/>
    <n v="896"/>
    <x v="0"/>
    <n v="6"/>
    <n v="3"/>
    <x v="0"/>
    <n v="1"/>
    <n v="298"/>
    <n v="4"/>
    <x v="0"/>
    <n v="75"/>
    <n v="3"/>
    <n v="3"/>
    <x v="5"/>
    <n v="4"/>
    <x v="0"/>
    <n v="13591"/>
    <n v="14674"/>
    <n v="3"/>
    <s v="Y"/>
    <x v="0"/>
    <n v="18"/>
    <n v="3"/>
    <n v="3"/>
    <n v="80"/>
    <n v="0"/>
    <n v="16"/>
    <n v="3"/>
    <n v="3"/>
    <x v="6"/>
    <m/>
    <n v="0"/>
    <n v="0"/>
    <n v="0"/>
  </r>
  <r>
    <n v="30"/>
    <x v="0"/>
    <x v="1"/>
    <n v="334"/>
    <x v="0"/>
    <n v="26"/>
    <n v="4"/>
    <x v="3"/>
    <n v="1"/>
    <n v="299"/>
    <n v="3"/>
    <x v="0"/>
    <n v="52"/>
    <n v="2"/>
    <n v="2"/>
    <x v="0"/>
    <n v="1"/>
    <x v="0"/>
    <n v="6696"/>
    <n v="22967"/>
    <n v="5"/>
    <s v="Y"/>
    <x v="1"/>
    <n v="15"/>
    <n v="3"/>
    <n v="3"/>
    <n v="80"/>
    <n v="0"/>
    <n v="9"/>
    <n v="5"/>
    <n v="2"/>
    <x v="0"/>
    <m/>
    <n v="3"/>
    <n v="0"/>
    <n v="1"/>
  </r>
  <r>
    <n v="29"/>
    <x v="0"/>
    <x v="0"/>
    <n v="992"/>
    <x v="1"/>
    <n v="1"/>
    <n v="3"/>
    <x v="4"/>
    <n v="1"/>
    <n v="300"/>
    <n v="3"/>
    <x v="1"/>
    <n v="85"/>
    <n v="3"/>
    <n v="1"/>
    <x v="1"/>
    <n v="3"/>
    <x v="0"/>
    <n v="2058"/>
    <n v="19757"/>
    <n v="0"/>
    <s v="Y"/>
    <x v="1"/>
    <n v="14"/>
    <n v="3"/>
    <n v="4"/>
    <n v="80"/>
    <n v="0"/>
    <n v="7"/>
    <n v="1"/>
    <n v="2"/>
    <x v="0"/>
    <m/>
    <n v="2"/>
    <n v="1"/>
    <n v="5"/>
  </r>
  <r>
    <n v="45"/>
    <x v="1"/>
    <x v="2"/>
    <n v="1052"/>
    <x v="0"/>
    <n v="6"/>
    <n v="3"/>
    <x v="2"/>
    <n v="1"/>
    <n v="302"/>
    <n v="4"/>
    <x v="0"/>
    <n v="57"/>
    <n v="2"/>
    <n v="3"/>
    <x v="0"/>
    <n v="4"/>
    <x v="0"/>
    <n v="8865"/>
    <n v="16840"/>
    <n v="6"/>
    <s v="Y"/>
    <x v="1"/>
    <n v="12"/>
    <n v="3"/>
    <n v="4"/>
    <n v="80"/>
    <n v="0"/>
    <n v="23"/>
    <n v="2"/>
    <n v="3"/>
    <x v="27"/>
    <m/>
    <n v="7"/>
    <n v="12"/>
    <n v="8"/>
  </r>
  <r>
    <n v="54"/>
    <x v="1"/>
    <x v="0"/>
    <n v="1147"/>
    <x v="0"/>
    <n v="3"/>
    <n v="3"/>
    <x v="3"/>
    <n v="1"/>
    <n v="303"/>
    <n v="4"/>
    <x v="0"/>
    <n v="52"/>
    <n v="3"/>
    <n v="2"/>
    <x v="0"/>
    <n v="1"/>
    <x v="1"/>
    <n v="5940"/>
    <n v="17011"/>
    <n v="2"/>
    <s v="Y"/>
    <x v="1"/>
    <n v="14"/>
    <n v="3"/>
    <n v="4"/>
    <n v="80"/>
    <n v="1"/>
    <n v="16"/>
    <n v="4"/>
    <n v="3"/>
    <x v="0"/>
    <m/>
    <n v="2"/>
    <n v="0"/>
    <n v="5"/>
  </r>
  <r>
    <n v="36"/>
    <x v="1"/>
    <x v="0"/>
    <n v="1396"/>
    <x v="1"/>
    <n v="5"/>
    <n v="2"/>
    <x v="0"/>
    <n v="1"/>
    <n v="304"/>
    <n v="4"/>
    <x v="1"/>
    <n v="62"/>
    <n v="3"/>
    <n v="2"/>
    <x v="2"/>
    <n v="2"/>
    <x v="0"/>
    <n v="5914"/>
    <n v="9945"/>
    <n v="8"/>
    <s v="Y"/>
    <x v="1"/>
    <n v="16"/>
    <n v="3"/>
    <n v="4"/>
    <n v="80"/>
    <n v="0"/>
    <n v="16"/>
    <n v="3"/>
    <n v="4"/>
    <x v="20"/>
    <m/>
    <n v="11"/>
    <n v="3"/>
    <n v="7"/>
  </r>
  <r>
    <n v="33"/>
    <x v="1"/>
    <x v="0"/>
    <n v="147"/>
    <x v="1"/>
    <n v="4"/>
    <n v="4"/>
    <x v="2"/>
    <n v="1"/>
    <n v="305"/>
    <n v="3"/>
    <x v="0"/>
    <n v="47"/>
    <n v="2"/>
    <n v="1"/>
    <x v="1"/>
    <n v="2"/>
    <x v="1"/>
    <n v="2622"/>
    <n v="13248"/>
    <n v="6"/>
    <s v="Y"/>
    <x v="1"/>
    <n v="21"/>
    <n v="4"/>
    <n v="4"/>
    <n v="80"/>
    <n v="0"/>
    <n v="7"/>
    <n v="3"/>
    <n v="3"/>
    <x v="11"/>
    <m/>
    <n v="2"/>
    <n v="1"/>
    <n v="1"/>
  </r>
  <r>
    <n v="37"/>
    <x v="1"/>
    <x v="1"/>
    <n v="663"/>
    <x v="1"/>
    <n v="11"/>
    <n v="3"/>
    <x v="1"/>
    <n v="1"/>
    <n v="306"/>
    <n v="2"/>
    <x v="1"/>
    <n v="47"/>
    <n v="3"/>
    <n v="3"/>
    <x v="7"/>
    <n v="4"/>
    <x v="2"/>
    <n v="12185"/>
    <n v="10056"/>
    <n v="1"/>
    <s v="Y"/>
    <x v="0"/>
    <n v="14"/>
    <n v="3"/>
    <n v="3"/>
    <n v="80"/>
    <n v="3"/>
    <n v="10"/>
    <n v="1"/>
    <n v="3"/>
    <x v="1"/>
    <m/>
    <n v="8"/>
    <n v="0"/>
    <n v="7"/>
  </r>
  <r>
    <n v="38"/>
    <x v="1"/>
    <x v="0"/>
    <n v="119"/>
    <x v="0"/>
    <n v="3"/>
    <n v="3"/>
    <x v="0"/>
    <n v="1"/>
    <n v="307"/>
    <n v="1"/>
    <x v="1"/>
    <n v="76"/>
    <n v="3"/>
    <n v="3"/>
    <x v="0"/>
    <n v="3"/>
    <x v="2"/>
    <n v="10609"/>
    <n v="9647"/>
    <n v="0"/>
    <s v="Y"/>
    <x v="1"/>
    <n v="12"/>
    <n v="3"/>
    <n v="3"/>
    <n v="80"/>
    <n v="2"/>
    <n v="17"/>
    <n v="6"/>
    <n v="2"/>
    <x v="22"/>
    <m/>
    <n v="10"/>
    <n v="5"/>
    <n v="13"/>
  </r>
  <r>
    <n v="31"/>
    <x v="1"/>
    <x v="2"/>
    <n v="979"/>
    <x v="1"/>
    <n v="1"/>
    <n v="4"/>
    <x v="2"/>
    <n v="1"/>
    <n v="308"/>
    <n v="3"/>
    <x v="1"/>
    <n v="90"/>
    <n v="1"/>
    <n v="2"/>
    <x v="3"/>
    <n v="3"/>
    <x v="1"/>
    <n v="4345"/>
    <n v="4381"/>
    <n v="0"/>
    <s v="Y"/>
    <x v="1"/>
    <n v="12"/>
    <n v="3"/>
    <n v="4"/>
    <n v="80"/>
    <n v="1"/>
    <n v="6"/>
    <n v="2"/>
    <n v="3"/>
    <x v="8"/>
    <m/>
    <n v="4"/>
    <n v="1"/>
    <n v="4"/>
  </r>
  <r>
    <n v="59"/>
    <x v="1"/>
    <x v="0"/>
    <n v="142"/>
    <x v="1"/>
    <n v="3"/>
    <n v="3"/>
    <x v="0"/>
    <n v="1"/>
    <n v="309"/>
    <n v="3"/>
    <x v="1"/>
    <n v="70"/>
    <n v="2"/>
    <n v="1"/>
    <x v="1"/>
    <n v="4"/>
    <x v="1"/>
    <n v="2177"/>
    <n v="8456"/>
    <n v="3"/>
    <s v="Y"/>
    <x v="1"/>
    <n v="17"/>
    <n v="3"/>
    <n v="1"/>
    <n v="80"/>
    <n v="1"/>
    <n v="7"/>
    <n v="6"/>
    <n v="3"/>
    <x v="6"/>
    <m/>
    <n v="0"/>
    <n v="0"/>
    <n v="0"/>
  </r>
  <r>
    <n v="37"/>
    <x v="1"/>
    <x v="1"/>
    <n v="319"/>
    <x v="0"/>
    <n v="4"/>
    <n v="4"/>
    <x v="3"/>
    <n v="1"/>
    <n v="311"/>
    <n v="1"/>
    <x v="1"/>
    <n v="41"/>
    <n v="3"/>
    <n v="1"/>
    <x v="6"/>
    <n v="4"/>
    <x v="2"/>
    <n v="2793"/>
    <n v="2539"/>
    <n v="4"/>
    <s v="Y"/>
    <x v="1"/>
    <n v="17"/>
    <n v="3"/>
    <n v="3"/>
    <n v="80"/>
    <n v="1"/>
    <n v="13"/>
    <n v="2"/>
    <n v="3"/>
    <x v="7"/>
    <m/>
    <n v="8"/>
    <n v="5"/>
    <n v="8"/>
  </r>
  <r>
    <n v="29"/>
    <x v="1"/>
    <x v="1"/>
    <n v="1413"/>
    <x v="0"/>
    <n v="1"/>
    <n v="1"/>
    <x v="2"/>
    <n v="1"/>
    <n v="312"/>
    <n v="2"/>
    <x v="0"/>
    <n v="42"/>
    <n v="3"/>
    <n v="3"/>
    <x v="0"/>
    <n v="4"/>
    <x v="1"/>
    <n v="7918"/>
    <n v="6599"/>
    <n v="1"/>
    <s v="Y"/>
    <x v="1"/>
    <n v="14"/>
    <n v="3"/>
    <n v="4"/>
    <n v="80"/>
    <n v="1"/>
    <n v="11"/>
    <n v="5"/>
    <n v="3"/>
    <x v="19"/>
    <m/>
    <n v="10"/>
    <n v="4"/>
    <n v="1"/>
  </r>
  <r>
    <n v="35"/>
    <x v="1"/>
    <x v="1"/>
    <n v="944"/>
    <x v="0"/>
    <n v="1"/>
    <n v="3"/>
    <x v="3"/>
    <n v="1"/>
    <n v="314"/>
    <n v="3"/>
    <x v="0"/>
    <n v="92"/>
    <n v="3"/>
    <n v="3"/>
    <x v="0"/>
    <n v="3"/>
    <x v="0"/>
    <n v="8789"/>
    <n v="9096"/>
    <n v="1"/>
    <s v="Y"/>
    <x v="1"/>
    <n v="14"/>
    <n v="3"/>
    <n v="1"/>
    <n v="80"/>
    <n v="0"/>
    <n v="10"/>
    <n v="3"/>
    <n v="4"/>
    <x v="1"/>
    <m/>
    <n v="7"/>
    <n v="0"/>
    <n v="8"/>
  </r>
  <r>
    <n v="29"/>
    <x v="0"/>
    <x v="0"/>
    <n v="896"/>
    <x v="1"/>
    <n v="18"/>
    <n v="1"/>
    <x v="2"/>
    <n v="1"/>
    <n v="315"/>
    <n v="3"/>
    <x v="1"/>
    <n v="86"/>
    <n v="2"/>
    <n v="1"/>
    <x v="1"/>
    <n v="4"/>
    <x v="0"/>
    <n v="2389"/>
    <n v="14961"/>
    <n v="1"/>
    <s v="Y"/>
    <x v="0"/>
    <n v="13"/>
    <n v="3"/>
    <n v="3"/>
    <n v="80"/>
    <n v="0"/>
    <n v="4"/>
    <n v="3"/>
    <n v="2"/>
    <x v="9"/>
    <m/>
    <n v="3"/>
    <n v="0"/>
    <n v="1"/>
  </r>
  <r>
    <n v="52"/>
    <x v="1"/>
    <x v="0"/>
    <n v="1323"/>
    <x v="1"/>
    <n v="2"/>
    <n v="3"/>
    <x v="0"/>
    <n v="1"/>
    <n v="316"/>
    <n v="3"/>
    <x v="0"/>
    <n v="89"/>
    <n v="2"/>
    <n v="1"/>
    <x v="2"/>
    <n v="4"/>
    <x v="0"/>
    <n v="3212"/>
    <n v="3300"/>
    <n v="7"/>
    <s v="Y"/>
    <x v="1"/>
    <n v="15"/>
    <n v="3"/>
    <n v="2"/>
    <n v="80"/>
    <n v="0"/>
    <n v="6"/>
    <n v="3"/>
    <n v="2"/>
    <x v="4"/>
    <m/>
    <n v="2"/>
    <n v="2"/>
    <n v="2"/>
  </r>
  <r>
    <n v="42"/>
    <x v="1"/>
    <x v="0"/>
    <n v="532"/>
    <x v="1"/>
    <n v="4"/>
    <n v="2"/>
    <x v="4"/>
    <n v="1"/>
    <n v="319"/>
    <n v="3"/>
    <x v="1"/>
    <n v="58"/>
    <n v="3"/>
    <n v="5"/>
    <x v="5"/>
    <n v="4"/>
    <x v="1"/>
    <n v="19232"/>
    <n v="4933"/>
    <n v="1"/>
    <s v="Y"/>
    <x v="1"/>
    <n v="11"/>
    <n v="3"/>
    <n v="4"/>
    <n v="80"/>
    <n v="0"/>
    <n v="22"/>
    <n v="3"/>
    <n v="3"/>
    <x v="14"/>
    <m/>
    <n v="17"/>
    <n v="11"/>
    <n v="15"/>
  </r>
  <r>
    <n v="59"/>
    <x v="1"/>
    <x v="0"/>
    <n v="818"/>
    <x v="2"/>
    <n v="6"/>
    <n v="2"/>
    <x v="2"/>
    <n v="1"/>
    <n v="321"/>
    <n v="2"/>
    <x v="1"/>
    <n v="52"/>
    <n v="3"/>
    <n v="1"/>
    <x v="8"/>
    <n v="3"/>
    <x v="1"/>
    <n v="2267"/>
    <n v="25657"/>
    <n v="8"/>
    <s v="Y"/>
    <x v="1"/>
    <n v="17"/>
    <n v="3"/>
    <n v="4"/>
    <n v="80"/>
    <n v="0"/>
    <n v="7"/>
    <n v="2"/>
    <n v="2"/>
    <x v="4"/>
    <m/>
    <n v="2"/>
    <n v="2"/>
    <n v="2"/>
  </r>
  <r>
    <n v="50"/>
    <x v="1"/>
    <x v="0"/>
    <n v="854"/>
    <x v="0"/>
    <n v="1"/>
    <n v="4"/>
    <x v="2"/>
    <n v="1"/>
    <n v="323"/>
    <n v="4"/>
    <x v="0"/>
    <n v="68"/>
    <n v="3"/>
    <n v="5"/>
    <x v="5"/>
    <n v="4"/>
    <x v="2"/>
    <n v="19517"/>
    <n v="24118"/>
    <n v="3"/>
    <s v="Y"/>
    <x v="1"/>
    <n v="11"/>
    <n v="3"/>
    <n v="3"/>
    <n v="80"/>
    <n v="1"/>
    <n v="32"/>
    <n v="3"/>
    <n v="2"/>
    <x v="5"/>
    <m/>
    <n v="0"/>
    <n v="0"/>
    <n v="6"/>
  </r>
  <r>
    <n v="33"/>
    <x v="0"/>
    <x v="0"/>
    <n v="813"/>
    <x v="1"/>
    <n v="14"/>
    <n v="3"/>
    <x v="2"/>
    <n v="1"/>
    <n v="325"/>
    <n v="3"/>
    <x v="1"/>
    <n v="58"/>
    <n v="3"/>
    <n v="1"/>
    <x v="2"/>
    <n v="4"/>
    <x v="1"/>
    <n v="2436"/>
    <n v="22149"/>
    <n v="5"/>
    <s v="Y"/>
    <x v="0"/>
    <n v="13"/>
    <n v="3"/>
    <n v="3"/>
    <n v="80"/>
    <n v="1"/>
    <n v="8"/>
    <n v="2"/>
    <n v="1"/>
    <x v="8"/>
    <m/>
    <n v="4"/>
    <n v="0"/>
    <n v="4"/>
  </r>
  <r>
    <n v="43"/>
    <x v="1"/>
    <x v="0"/>
    <n v="1034"/>
    <x v="0"/>
    <n v="16"/>
    <n v="3"/>
    <x v="3"/>
    <n v="1"/>
    <n v="327"/>
    <n v="4"/>
    <x v="0"/>
    <n v="80"/>
    <n v="3"/>
    <n v="4"/>
    <x v="5"/>
    <n v="4"/>
    <x v="1"/>
    <n v="16064"/>
    <n v="7744"/>
    <n v="5"/>
    <s v="Y"/>
    <x v="0"/>
    <n v="22"/>
    <n v="4"/>
    <n v="3"/>
    <n v="80"/>
    <n v="1"/>
    <n v="22"/>
    <n v="3"/>
    <n v="3"/>
    <x v="18"/>
    <m/>
    <n v="13"/>
    <n v="1"/>
    <n v="9"/>
  </r>
  <r>
    <n v="33"/>
    <x v="0"/>
    <x v="0"/>
    <n v="465"/>
    <x v="1"/>
    <n v="2"/>
    <n v="2"/>
    <x v="0"/>
    <n v="1"/>
    <n v="328"/>
    <n v="1"/>
    <x v="0"/>
    <n v="39"/>
    <n v="3"/>
    <n v="1"/>
    <x v="2"/>
    <n v="1"/>
    <x v="1"/>
    <n v="2707"/>
    <n v="21509"/>
    <n v="7"/>
    <s v="Y"/>
    <x v="1"/>
    <n v="20"/>
    <n v="4"/>
    <n v="1"/>
    <n v="80"/>
    <n v="0"/>
    <n v="13"/>
    <n v="3"/>
    <n v="4"/>
    <x v="7"/>
    <m/>
    <n v="7"/>
    <n v="1"/>
    <n v="7"/>
  </r>
  <r>
    <n v="52"/>
    <x v="1"/>
    <x v="2"/>
    <n v="771"/>
    <x v="0"/>
    <n v="2"/>
    <n v="4"/>
    <x v="0"/>
    <n v="1"/>
    <n v="329"/>
    <n v="1"/>
    <x v="1"/>
    <n v="79"/>
    <n v="2"/>
    <n v="5"/>
    <x v="5"/>
    <n v="3"/>
    <x v="0"/>
    <n v="19068"/>
    <n v="21030"/>
    <n v="1"/>
    <s v="Y"/>
    <x v="0"/>
    <n v="18"/>
    <n v="3"/>
    <n v="4"/>
    <n v="80"/>
    <n v="0"/>
    <n v="33"/>
    <n v="2"/>
    <n v="4"/>
    <x v="26"/>
    <m/>
    <n v="7"/>
    <n v="15"/>
    <n v="12"/>
  </r>
  <r>
    <n v="32"/>
    <x v="1"/>
    <x v="0"/>
    <n v="1401"/>
    <x v="0"/>
    <n v="4"/>
    <n v="2"/>
    <x v="0"/>
    <n v="1"/>
    <n v="330"/>
    <n v="3"/>
    <x v="0"/>
    <n v="56"/>
    <n v="3"/>
    <n v="1"/>
    <x v="6"/>
    <n v="2"/>
    <x v="1"/>
    <n v="3931"/>
    <n v="20990"/>
    <n v="2"/>
    <s v="Y"/>
    <x v="1"/>
    <n v="11"/>
    <n v="3"/>
    <n v="1"/>
    <n v="80"/>
    <n v="1"/>
    <n v="6"/>
    <n v="5"/>
    <n v="3"/>
    <x v="9"/>
    <m/>
    <n v="3"/>
    <n v="1"/>
    <n v="2"/>
  </r>
  <r>
    <n v="32"/>
    <x v="0"/>
    <x v="0"/>
    <n v="515"/>
    <x v="1"/>
    <n v="1"/>
    <n v="3"/>
    <x v="0"/>
    <n v="1"/>
    <n v="331"/>
    <n v="4"/>
    <x v="1"/>
    <n v="62"/>
    <n v="2"/>
    <n v="1"/>
    <x v="2"/>
    <n v="3"/>
    <x v="0"/>
    <n v="3730"/>
    <n v="9571"/>
    <n v="0"/>
    <s v="Y"/>
    <x v="0"/>
    <n v="14"/>
    <n v="3"/>
    <n v="4"/>
    <n v="80"/>
    <n v="0"/>
    <n v="4"/>
    <n v="2"/>
    <n v="1"/>
    <x v="11"/>
    <m/>
    <n v="2"/>
    <n v="1"/>
    <n v="2"/>
  </r>
  <r>
    <n v="39"/>
    <x v="1"/>
    <x v="0"/>
    <n v="1431"/>
    <x v="1"/>
    <n v="1"/>
    <n v="4"/>
    <x v="2"/>
    <n v="1"/>
    <n v="332"/>
    <n v="3"/>
    <x v="0"/>
    <n v="96"/>
    <n v="3"/>
    <n v="1"/>
    <x v="2"/>
    <n v="3"/>
    <x v="2"/>
    <n v="2232"/>
    <n v="15417"/>
    <n v="7"/>
    <s v="Y"/>
    <x v="1"/>
    <n v="14"/>
    <n v="3"/>
    <n v="3"/>
    <n v="80"/>
    <n v="3"/>
    <n v="7"/>
    <n v="1"/>
    <n v="3"/>
    <x v="11"/>
    <m/>
    <n v="2"/>
    <n v="1"/>
    <n v="2"/>
  </r>
  <r>
    <n v="32"/>
    <x v="1"/>
    <x v="2"/>
    <n v="976"/>
    <x v="0"/>
    <n v="26"/>
    <n v="4"/>
    <x v="3"/>
    <n v="1"/>
    <n v="333"/>
    <n v="3"/>
    <x v="1"/>
    <n v="100"/>
    <n v="3"/>
    <n v="2"/>
    <x v="0"/>
    <n v="4"/>
    <x v="1"/>
    <n v="4465"/>
    <n v="12069"/>
    <n v="0"/>
    <s v="Y"/>
    <x v="1"/>
    <n v="18"/>
    <n v="3"/>
    <n v="1"/>
    <n v="80"/>
    <n v="0"/>
    <n v="4"/>
    <n v="2"/>
    <n v="3"/>
    <x v="11"/>
    <m/>
    <n v="2"/>
    <n v="2"/>
    <n v="2"/>
  </r>
  <r>
    <n v="41"/>
    <x v="1"/>
    <x v="0"/>
    <n v="1411"/>
    <x v="1"/>
    <n v="19"/>
    <n v="2"/>
    <x v="0"/>
    <n v="1"/>
    <n v="334"/>
    <n v="3"/>
    <x v="1"/>
    <n v="36"/>
    <n v="3"/>
    <n v="2"/>
    <x v="1"/>
    <n v="1"/>
    <x v="2"/>
    <n v="3072"/>
    <n v="19877"/>
    <n v="2"/>
    <s v="Y"/>
    <x v="1"/>
    <n v="16"/>
    <n v="3"/>
    <n v="1"/>
    <n v="80"/>
    <n v="2"/>
    <n v="17"/>
    <n v="2"/>
    <n v="2"/>
    <x v="6"/>
    <m/>
    <n v="0"/>
    <n v="0"/>
    <n v="0"/>
  </r>
  <r>
    <n v="40"/>
    <x v="1"/>
    <x v="0"/>
    <n v="1300"/>
    <x v="1"/>
    <n v="24"/>
    <n v="2"/>
    <x v="4"/>
    <n v="1"/>
    <n v="335"/>
    <n v="1"/>
    <x v="1"/>
    <n v="62"/>
    <n v="3"/>
    <n v="2"/>
    <x v="1"/>
    <n v="4"/>
    <x v="2"/>
    <n v="3319"/>
    <n v="24447"/>
    <n v="1"/>
    <s v="Y"/>
    <x v="1"/>
    <n v="17"/>
    <n v="3"/>
    <n v="1"/>
    <n v="80"/>
    <n v="2"/>
    <n v="9"/>
    <n v="3"/>
    <n v="3"/>
    <x v="7"/>
    <m/>
    <n v="8"/>
    <n v="4"/>
    <n v="7"/>
  </r>
  <r>
    <n v="45"/>
    <x v="1"/>
    <x v="0"/>
    <n v="252"/>
    <x v="1"/>
    <n v="1"/>
    <n v="3"/>
    <x v="1"/>
    <n v="1"/>
    <n v="336"/>
    <n v="3"/>
    <x v="1"/>
    <n v="70"/>
    <n v="4"/>
    <n v="5"/>
    <x v="5"/>
    <n v="4"/>
    <x v="1"/>
    <n v="19202"/>
    <n v="15970"/>
    <n v="0"/>
    <s v="Y"/>
    <x v="1"/>
    <n v="11"/>
    <n v="3"/>
    <n v="3"/>
    <n v="80"/>
    <n v="1"/>
    <n v="25"/>
    <n v="2"/>
    <n v="3"/>
    <x v="25"/>
    <m/>
    <n v="0"/>
    <n v="1"/>
    <n v="7"/>
  </r>
  <r>
    <n v="31"/>
    <x v="1"/>
    <x v="1"/>
    <n v="1327"/>
    <x v="1"/>
    <n v="3"/>
    <n v="4"/>
    <x v="2"/>
    <n v="1"/>
    <n v="337"/>
    <n v="2"/>
    <x v="1"/>
    <n v="73"/>
    <n v="3"/>
    <n v="3"/>
    <x v="7"/>
    <n v="3"/>
    <x v="2"/>
    <n v="13675"/>
    <n v="13523"/>
    <n v="9"/>
    <s v="Y"/>
    <x v="1"/>
    <n v="12"/>
    <n v="3"/>
    <n v="1"/>
    <n v="80"/>
    <n v="1"/>
    <n v="9"/>
    <n v="3"/>
    <n v="3"/>
    <x v="4"/>
    <m/>
    <n v="2"/>
    <n v="2"/>
    <n v="2"/>
  </r>
  <r>
    <n v="33"/>
    <x v="1"/>
    <x v="0"/>
    <n v="832"/>
    <x v="1"/>
    <n v="5"/>
    <n v="4"/>
    <x v="0"/>
    <n v="1"/>
    <n v="338"/>
    <n v="3"/>
    <x v="0"/>
    <n v="63"/>
    <n v="2"/>
    <n v="1"/>
    <x v="1"/>
    <n v="4"/>
    <x v="1"/>
    <n v="2911"/>
    <n v="14776"/>
    <n v="1"/>
    <s v="Y"/>
    <x v="1"/>
    <n v="13"/>
    <n v="3"/>
    <n v="3"/>
    <n v="80"/>
    <n v="1"/>
    <n v="2"/>
    <n v="2"/>
    <n v="2"/>
    <x v="4"/>
    <m/>
    <n v="2"/>
    <n v="0"/>
    <n v="2"/>
  </r>
  <r>
    <n v="34"/>
    <x v="1"/>
    <x v="0"/>
    <n v="470"/>
    <x v="1"/>
    <n v="2"/>
    <n v="4"/>
    <x v="0"/>
    <n v="1"/>
    <n v="339"/>
    <n v="4"/>
    <x v="1"/>
    <n v="84"/>
    <n v="2"/>
    <n v="2"/>
    <x v="3"/>
    <n v="1"/>
    <x v="1"/>
    <n v="5957"/>
    <n v="23687"/>
    <n v="6"/>
    <s v="Y"/>
    <x v="1"/>
    <n v="13"/>
    <n v="3"/>
    <n v="2"/>
    <n v="80"/>
    <n v="1"/>
    <n v="13"/>
    <n v="3"/>
    <n v="3"/>
    <x v="19"/>
    <m/>
    <n v="9"/>
    <n v="5"/>
    <n v="9"/>
  </r>
  <r>
    <n v="37"/>
    <x v="1"/>
    <x v="0"/>
    <n v="1017"/>
    <x v="1"/>
    <n v="1"/>
    <n v="2"/>
    <x v="2"/>
    <n v="1"/>
    <n v="340"/>
    <n v="3"/>
    <x v="0"/>
    <n v="83"/>
    <n v="2"/>
    <n v="1"/>
    <x v="1"/>
    <n v="1"/>
    <x v="1"/>
    <n v="3920"/>
    <n v="18697"/>
    <n v="2"/>
    <s v="Y"/>
    <x v="1"/>
    <n v="14"/>
    <n v="3"/>
    <n v="1"/>
    <n v="80"/>
    <n v="1"/>
    <n v="17"/>
    <n v="2"/>
    <n v="2"/>
    <x v="11"/>
    <m/>
    <n v="1"/>
    <n v="0"/>
    <n v="2"/>
  </r>
  <r>
    <n v="45"/>
    <x v="1"/>
    <x v="1"/>
    <n v="1199"/>
    <x v="1"/>
    <n v="7"/>
    <n v="4"/>
    <x v="0"/>
    <n v="1"/>
    <n v="341"/>
    <n v="1"/>
    <x v="1"/>
    <n v="77"/>
    <n v="4"/>
    <n v="2"/>
    <x v="3"/>
    <n v="3"/>
    <x v="1"/>
    <n v="6434"/>
    <n v="5118"/>
    <n v="4"/>
    <s v="Y"/>
    <x v="1"/>
    <n v="17"/>
    <n v="3"/>
    <n v="4"/>
    <n v="80"/>
    <n v="1"/>
    <n v="9"/>
    <n v="1"/>
    <n v="3"/>
    <x v="11"/>
    <m/>
    <n v="2"/>
    <n v="0"/>
    <n v="2"/>
  </r>
  <r>
    <n v="37"/>
    <x v="0"/>
    <x v="1"/>
    <n v="504"/>
    <x v="1"/>
    <n v="10"/>
    <n v="3"/>
    <x v="2"/>
    <n v="1"/>
    <n v="342"/>
    <n v="1"/>
    <x v="1"/>
    <n v="61"/>
    <n v="3"/>
    <n v="3"/>
    <x v="3"/>
    <n v="3"/>
    <x v="2"/>
    <n v="10048"/>
    <n v="22573"/>
    <n v="6"/>
    <s v="Y"/>
    <x v="1"/>
    <n v="11"/>
    <n v="3"/>
    <n v="2"/>
    <n v="80"/>
    <n v="2"/>
    <n v="17"/>
    <n v="5"/>
    <n v="3"/>
    <x v="6"/>
    <m/>
    <n v="0"/>
    <n v="0"/>
    <n v="0"/>
  </r>
  <r>
    <n v="39"/>
    <x v="1"/>
    <x v="1"/>
    <n v="505"/>
    <x v="1"/>
    <n v="2"/>
    <n v="4"/>
    <x v="4"/>
    <n v="1"/>
    <n v="343"/>
    <n v="3"/>
    <x v="0"/>
    <n v="64"/>
    <n v="3"/>
    <n v="3"/>
    <x v="4"/>
    <n v="3"/>
    <x v="0"/>
    <n v="10938"/>
    <n v="6420"/>
    <n v="0"/>
    <s v="Y"/>
    <x v="1"/>
    <n v="25"/>
    <n v="4"/>
    <n v="4"/>
    <n v="80"/>
    <n v="0"/>
    <n v="20"/>
    <n v="1"/>
    <n v="3"/>
    <x v="27"/>
    <m/>
    <n v="6"/>
    <n v="11"/>
    <n v="8"/>
  </r>
  <r>
    <n v="29"/>
    <x v="1"/>
    <x v="0"/>
    <n v="665"/>
    <x v="1"/>
    <n v="15"/>
    <n v="3"/>
    <x v="0"/>
    <n v="1"/>
    <n v="346"/>
    <n v="3"/>
    <x v="1"/>
    <n v="60"/>
    <n v="3"/>
    <n v="1"/>
    <x v="1"/>
    <n v="4"/>
    <x v="0"/>
    <n v="2340"/>
    <n v="22673"/>
    <n v="1"/>
    <s v="Y"/>
    <x v="1"/>
    <n v="19"/>
    <n v="3"/>
    <n v="1"/>
    <n v="80"/>
    <n v="0"/>
    <n v="6"/>
    <n v="1"/>
    <n v="3"/>
    <x v="0"/>
    <m/>
    <n v="5"/>
    <n v="1"/>
    <n v="5"/>
  </r>
  <r>
    <n v="42"/>
    <x v="1"/>
    <x v="0"/>
    <n v="916"/>
    <x v="1"/>
    <n v="17"/>
    <n v="2"/>
    <x v="0"/>
    <n v="1"/>
    <n v="347"/>
    <n v="4"/>
    <x v="0"/>
    <n v="82"/>
    <n v="4"/>
    <n v="2"/>
    <x v="1"/>
    <n v="1"/>
    <x v="0"/>
    <n v="6545"/>
    <n v="23016"/>
    <n v="3"/>
    <s v="Y"/>
    <x v="0"/>
    <n v="13"/>
    <n v="3"/>
    <n v="3"/>
    <n v="80"/>
    <n v="0"/>
    <n v="10"/>
    <n v="1"/>
    <n v="3"/>
    <x v="11"/>
    <m/>
    <n v="2"/>
    <n v="0"/>
    <n v="2"/>
  </r>
  <r>
    <n v="29"/>
    <x v="1"/>
    <x v="0"/>
    <n v="1247"/>
    <x v="0"/>
    <n v="20"/>
    <n v="2"/>
    <x v="3"/>
    <n v="1"/>
    <n v="349"/>
    <n v="4"/>
    <x v="1"/>
    <n v="45"/>
    <n v="3"/>
    <n v="2"/>
    <x v="0"/>
    <n v="4"/>
    <x v="2"/>
    <n v="6931"/>
    <n v="10732"/>
    <n v="2"/>
    <s v="Y"/>
    <x v="1"/>
    <n v="14"/>
    <n v="3"/>
    <n v="4"/>
    <n v="80"/>
    <n v="1"/>
    <n v="10"/>
    <n v="2"/>
    <n v="3"/>
    <x v="11"/>
    <m/>
    <n v="2"/>
    <n v="0"/>
    <n v="2"/>
  </r>
  <r>
    <n v="25"/>
    <x v="1"/>
    <x v="0"/>
    <n v="685"/>
    <x v="1"/>
    <n v="1"/>
    <n v="3"/>
    <x v="0"/>
    <n v="1"/>
    <n v="350"/>
    <n v="1"/>
    <x v="0"/>
    <n v="62"/>
    <n v="3"/>
    <n v="2"/>
    <x v="3"/>
    <n v="3"/>
    <x v="1"/>
    <n v="4898"/>
    <n v="7505"/>
    <n v="0"/>
    <s v="Y"/>
    <x v="1"/>
    <n v="12"/>
    <n v="3"/>
    <n v="4"/>
    <n v="80"/>
    <n v="2"/>
    <n v="5"/>
    <n v="3"/>
    <n v="3"/>
    <x v="9"/>
    <m/>
    <n v="2"/>
    <n v="1"/>
    <n v="2"/>
  </r>
  <r>
    <n v="42"/>
    <x v="1"/>
    <x v="0"/>
    <n v="269"/>
    <x v="1"/>
    <n v="2"/>
    <n v="3"/>
    <x v="2"/>
    <n v="1"/>
    <n v="351"/>
    <n v="4"/>
    <x v="0"/>
    <n v="56"/>
    <n v="2"/>
    <n v="1"/>
    <x v="2"/>
    <n v="1"/>
    <x v="2"/>
    <n v="2593"/>
    <n v="8007"/>
    <n v="0"/>
    <s v="Y"/>
    <x v="0"/>
    <n v="11"/>
    <n v="3"/>
    <n v="3"/>
    <n v="80"/>
    <n v="1"/>
    <n v="10"/>
    <n v="4"/>
    <n v="3"/>
    <x v="7"/>
    <m/>
    <n v="6"/>
    <n v="7"/>
    <n v="8"/>
  </r>
  <r>
    <n v="40"/>
    <x v="1"/>
    <x v="0"/>
    <n v="1416"/>
    <x v="1"/>
    <n v="2"/>
    <n v="2"/>
    <x v="2"/>
    <n v="1"/>
    <n v="352"/>
    <n v="1"/>
    <x v="1"/>
    <n v="49"/>
    <n v="3"/>
    <n v="5"/>
    <x v="7"/>
    <n v="3"/>
    <x v="2"/>
    <n v="19436"/>
    <n v="5949"/>
    <n v="0"/>
    <s v="Y"/>
    <x v="1"/>
    <n v="19"/>
    <n v="3"/>
    <n v="4"/>
    <n v="80"/>
    <n v="1"/>
    <n v="22"/>
    <n v="5"/>
    <n v="3"/>
    <x v="17"/>
    <m/>
    <n v="7"/>
    <n v="3"/>
    <n v="9"/>
  </r>
  <r>
    <n v="51"/>
    <x v="1"/>
    <x v="0"/>
    <n v="833"/>
    <x v="1"/>
    <n v="1"/>
    <n v="3"/>
    <x v="0"/>
    <n v="1"/>
    <n v="353"/>
    <n v="3"/>
    <x v="1"/>
    <n v="96"/>
    <n v="3"/>
    <n v="1"/>
    <x v="1"/>
    <n v="4"/>
    <x v="1"/>
    <n v="2723"/>
    <n v="23231"/>
    <n v="1"/>
    <s v="Y"/>
    <x v="1"/>
    <n v="11"/>
    <n v="3"/>
    <n v="2"/>
    <n v="80"/>
    <n v="0"/>
    <n v="1"/>
    <n v="0"/>
    <n v="2"/>
    <x v="6"/>
    <m/>
    <n v="0"/>
    <n v="0"/>
    <n v="0"/>
  </r>
  <r>
    <n v="31"/>
    <x v="0"/>
    <x v="1"/>
    <n v="307"/>
    <x v="1"/>
    <n v="29"/>
    <n v="2"/>
    <x v="2"/>
    <n v="1"/>
    <n v="355"/>
    <n v="3"/>
    <x v="1"/>
    <n v="71"/>
    <n v="2"/>
    <n v="1"/>
    <x v="2"/>
    <n v="2"/>
    <x v="0"/>
    <n v="3479"/>
    <n v="11652"/>
    <n v="0"/>
    <s v="Y"/>
    <x v="1"/>
    <n v="11"/>
    <n v="3"/>
    <n v="2"/>
    <n v="80"/>
    <n v="0"/>
    <n v="6"/>
    <n v="2"/>
    <n v="4"/>
    <x v="8"/>
    <m/>
    <n v="4"/>
    <n v="1"/>
    <n v="4"/>
  </r>
  <r>
    <n v="32"/>
    <x v="1"/>
    <x v="1"/>
    <n v="1311"/>
    <x v="1"/>
    <n v="7"/>
    <n v="3"/>
    <x v="0"/>
    <n v="1"/>
    <n v="359"/>
    <n v="2"/>
    <x v="1"/>
    <n v="100"/>
    <n v="4"/>
    <n v="1"/>
    <x v="2"/>
    <n v="2"/>
    <x v="1"/>
    <n v="2794"/>
    <n v="26062"/>
    <n v="1"/>
    <s v="Y"/>
    <x v="1"/>
    <n v="20"/>
    <n v="4"/>
    <n v="3"/>
    <n v="80"/>
    <n v="0"/>
    <n v="5"/>
    <n v="3"/>
    <n v="1"/>
    <x v="8"/>
    <m/>
    <n v="1"/>
    <n v="0"/>
    <n v="3"/>
  </r>
  <r>
    <n v="38"/>
    <x v="1"/>
    <x v="2"/>
    <n v="1327"/>
    <x v="0"/>
    <n v="2"/>
    <n v="2"/>
    <x v="0"/>
    <n v="1"/>
    <n v="361"/>
    <n v="4"/>
    <x v="1"/>
    <n v="39"/>
    <n v="2"/>
    <n v="2"/>
    <x v="0"/>
    <n v="4"/>
    <x v="1"/>
    <n v="5249"/>
    <n v="19682"/>
    <n v="3"/>
    <s v="Y"/>
    <x v="1"/>
    <n v="18"/>
    <n v="3"/>
    <n v="4"/>
    <n v="80"/>
    <n v="1"/>
    <n v="13"/>
    <n v="0"/>
    <n v="3"/>
    <x v="3"/>
    <m/>
    <n v="7"/>
    <n v="7"/>
    <n v="5"/>
  </r>
  <r>
    <n v="32"/>
    <x v="1"/>
    <x v="0"/>
    <n v="128"/>
    <x v="1"/>
    <n v="2"/>
    <n v="1"/>
    <x v="4"/>
    <n v="1"/>
    <n v="362"/>
    <n v="4"/>
    <x v="1"/>
    <n v="84"/>
    <n v="2"/>
    <n v="2"/>
    <x v="2"/>
    <n v="1"/>
    <x v="0"/>
    <n v="2176"/>
    <n v="19737"/>
    <n v="4"/>
    <s v="Y"/>
    <x v="1"/>
    <n v="13"/>
    <n v="3"/>
    <n v="4"/>
    <n v="80"/>
    <n v="0"/>
    <n v="9"/>
    <n v="5"/>
    <n v="3"/>
    <x v="0"/>
    <m/>
    <n v="2"/>
    <n v="0"/>
    <n v="4"/>
  </r>
  <r>
    <n v="46"/>
    <x v="1"/>
    <x v="0"/>
    <n v="488"/>
    <x v="0"/>
    <n v="2"/>
    <n v="3"/>
    <x v="4"/>
    <n v="1"/>
    <n v="363"/>
    <n v="3"/>
    <x v="0"/>
    <n v="75"/>
    <n v="1"/>
    <n v="4"/>
    <x v="5"/>
    <n v="2"/>
    <x v="1"/>
    <n v="16872"/>
    <n v="14977"/>
    <n v="3"/>
    <s v="Y"/>
    <x v="0"/>
    <n v="12"/>
    <n v="3"/>
    <n v="2"/>
    <n v="80"/>
    <n v="1"/>
    <n v="28"/>
    <n v="2"/>
    <n v="2"/>
    <x v="5"/>
    <m/>
    <n v="7"/>
    <n v="7"/>
    <n v="7"/>
  </r>
  <r>
    <n v="28"/>
    <x v="0"/>
    <x v="0"/>
    <n v="529"/>
    <x v="1"/>
    <n v="2"/>
    <n v="4"/>
    <x v="0"/>
    <n v="1"/>
    <n v="364"/>
    <n v="1"/>
    <x v="1"/>
    <n v="79"/>
    <n v="3"/>
    <n v="1"/>
    <x v="2"/>
    <n v="3"/>
    <x v="0"/>
    <n v="3485"/>
    <n v="14935"/>
    <n v="2"/>
    <s v="Y"/>
    <x v="1"/>
    <n v="11"/>
    <n v="3"/>
    <n v="3"/>
    <n v="80"/>
    <n v="0"/>
    <n v="5"/>
    <n v="5"/>
    <n v="1"/>
    <x v="2"/>
    <m/>
    <n v="0"/>
    <n v="0"/>
    <n v="0"/>
  </r>
  <r>
    <n v="29"/>
    <x v="1"/>
    <x v="0"/>
    <n v="1210"/>
    <x v="0"/>
    <n v="2"/>
    <n v="3"/>
    <x v="2"/>
    <n v="1"/>
    <n v="366"/>
    <n v="1"/>
    <x v="1"/>
    <n v="78"/>
    <n v="2"/>
    <n v="2"/>
    <x v="0"/>
    <n v="2"/>
    <x v="1"/>
    <n v="6644"/>
    <n v="3687"/>
    <n v="2"/>
    <s v="Y"/>
    <x v="1"/>
    <n v="19"/>
    <n v="3"/>
    <n v="2"/>
    <n v="80"/>
    <n v="2"/>
    <n v="10"/>
    <n v="2"/>
    <n v="3"/>
    <x v="2"/>
    <m/>
    <n v="0"/>
    <n v="0"/>
    <n v="0"/>
  </r>
  <r>
    <n v="31"/>
    <x v="1"/>
    <x v="0"/>
    <n v="1463"/>
    <x v="1"/>
    <n v="23"/>
    <n v="3"/>
    <x v="2"/>
    <n v="1"/>
    <n v="367"/>
    <n v="2"/>
    <x v="1"/>
    <n v="64"/>
    <n v="2"/>
    <n v="2"/>
    <x v="4"/>
    <n v="4"/>
    <x v="1"/>
    <n v="5582"/>
    <n v="14408"/>
    <n v="0"/>
    <s v="Y"/>
    <x v="1"/>
    <n v="21"/>
    <n v="4"/>
    <n v="2"/>
    <n v="80"/>
    <n v="1"/>
    <n v="10"/>
    <n v="2"/>
    <n v="3"/>
    <x v="7"/>
    <m/>
    <n v="0"/>
    <n v="7"/>
    <n v="8"/>
  </r>
  <r>
    <n v="25"/>
    <x v="1"/>
    <x v="2"/>
    <n v="675"/>
    <x v="1"/>
    <n v="5"/>
    <n v="2"/>
    <x v="0"/>
    <n v="1"/>
    <n v="369"/>
    <n v="2"/>
    <x v="1"/>
    <n v="85"/>
    <n v="4"/>
    <n v="2"/>
    <x v="4"/>
    <n v="1"/>
    <x v="2"/>
    <n v="4000"/>
    <n v="18384"/>
    <n v="1"/>
    <s v="Y"/>
    <x v="1"/>
    <n v="12"/>
    <n v="3"/>
    <n v="4"/>
    <n v="80"/>
    <n v="2"/>
    <n v="6"/>
    <n v="2"/>
    <n v="3"/>
    <x v="0"/>
    <m/>
    <n v="3"/>
    <n v="1"/>
    <n v="5"/>
  </r>
  <r>
    <n v="45"/>
    <x v="1"/>
    <x v="0"/>
    <n v="1385"/>
    <x v="1"/>
    <n v="20"/>
    <n v="2"/>
    <x v="2"/>
    <n v="1"/>
    <n v="372"/>
    <n v="3"/>
    <x v="1"/>
    <n v="79"/>
    <n v="3"/>
    <n v="4"/>
    <x v="4"/>
    <n v="4"/>
    <x v="1"/>
    <n v="13496"/>
    <n v="7501"/>
    <n v="0"/>
    <s v="Y"/>
    <x v="0"/>
    <n v="14"/>
    <n v="3"/>
    <n v="2"/>
    <n v="80"/>
    <n v="0"/>
    <n v="21"/>
    <n v="2"/>
    <n v="3"/>
    <x v="23"/>
    <m/>
    <n v="7"/>
    <n v="4"/>
    <n v="10"/>
  </r>
  <r>
    <n v="36"/>
    <x v="1"/>
    <x v="0"/>
    <n v="1403"/>
    <x v="1"/>
    <n v="6"/>
    <n v="3"/>
    <x v="0"/>
    <n v="1"/>
    <n v="373"/>
    <n v="4"/>
    <x v="1"/>
    <n v="47"/>
    <n v="3"/>
    <n v="1"/>
    <x v="2"/>
    <n v="4"/>
    <x v="1"/>
    <n v="3210"/>
    <n v="20251"/>
    <n v="0"/>
    <s v="Y"/>
    <x v="1"/>
    <n v="11"/>
    <n v="3"/>
    <n v="3"/>
    <n v="80"/>
    <n v="1"/>
    <n v="16"/>
    <n v="4"/>
    <n v="3"/>
    <x v="15"/>
    <m/>
    <n v="13"/>
    <n v="10"/>
    <n v="11"/>
  </r>
  <r>
    <n v="55"/>
    <x v="1"/>
    <x v="0"/>
    <n v="452"/>
    <x v="1"/>
    <n v="1"/>
    <n v="3"/>
    <x v="2"/>
    <n v="1"/>
    <n v="374"/>
    <n v="4"/>
    <x v="1"/>
    <n v="81"/>
    <n v="3"/>
    <n v="5"/>
    <x v="5"/>
    <n v="1"/>
    <x v="0"/>
    <n v="19045"/>
    <n v="18938"/>
    <n v="0"/>
    <s v="Y"/>
    <x v="0"/>
    <n v="14"/>
    <n v="3"/>
    <n v="3"/>
    <n v="80"/>
    <n v="0"/>
    <n v="37"/>
    <n v="2"/>
    <n v="3"/>
    <x v="28"/>
    <m/>
    <n v="10"/>
    <n v="4"/>
    <n v="13"/>
  </r>
  <r>
    <n v="47"/>
    <x v="0"/>
    <x v="2"/>
    <n v="666"/>
    <x v="1"/>
    <n v="29"/>
    <n v="4"/>
    <x v="0"/>
    <n v="1"/>
    <n v="376"/>
    <n v="1"/>
    <x v="1"/>
    <n v="88"/>
    <n v="3"/>
    <n v="3"/>
    <x v="5"/>
    <n v="2"/>
    <x v="1"/>
    <n v="11849"/>
    <n v="10268"/>
    <n v="1"/>
    <s v="Y"/>
    <x v="0"/>
    <n v="12"/>
    <n v="3"/>
    <n v="4"/>
    <n v="80"/>
    <n v="1"/>
    <n v="10"/>
    <n v="2"/>
    <n v="2"/>
    <x v="1"/>
    <m/>
    <n v="7"/>
    <n v="9"/>
    <n v="9"/>
  </r>
  <r>
    <n v="28"/>
    <x v="1"/>
    <x v="0"/>
    <n v="1158"/>
    <x v="1"/>
    <n v="9"/>
    <n v="3"/>
    <x v="2"/>
    <n v="1"/>
    <n v="377"/>
    <n v="4"/>
    <x v="1"/>
    <n v="94"/>
    <n v="3"/>
    <n v="1"/>
    <x v="1"/>
    <n v="4"/>
    <x v="1"/>
    <n v="2070"/>
    <n v="2613"/>
    <n v="1"/>
    <s v="Y"/>
    <x v="1"/>
    <n v="23"/>
    <n v="4"/>
    <n v="4"/>
    <n v="80"/>
    <n v="1"/>
    <n v="5"/>
    <n v="3"/>
    <n v="2"/>
    <x v="8"/>
    <m/>
    <n v="2"/>
    <n v="0"/>
    <n v="4"/>
  </r>
  <r>
    <n v="37"/>
    <x v="1"/>
    <x v="0"/>
    <n v="228"/>
    <x v="0"/>
    <n v="6"/>
    <n v="4"/>
    <x v="2"/>
    <n v="1"/>
    <n v="378"/>
    <n v="3"/>
    <x v="1"/>
    <n v="98"/>
    <n v="3"/>
    <n v="2"/>
    <x v="0"/>
    <n v="4"/>
    <x v="1"/>
    <n v="6502"/>
    <n v="22825"/>
    <n v="4"/>
    <s v="Y"/>
    <x v="1"/>
    <n v="14"/>
    <n v="3"/>
    <n v="2"/>
    <n v="80"/>
    <n v="1"/>
    <n v="7"/>
    <n v="5"/>
    <n v="4"/>
    <x v="8"/>
    <m/>
    <n v="4"/>
    <n v="0"/>
    <n v="1"/>
  </r>
  <r>
    <n v="21"/>
    <x v="1"/>
    <x v="0"/>
    <n v="996"/>
    <x v="1"/>
    <n v="3"/>
    <n v="2"/>
    <x v="2"/>
    <n v="1"/>
    <n v="379"/>
    <n v="4"/>
    <x v="1"/>
    <n v="100"/>
    <n v="2"/>
    <n v="1"/>
    <x v="1"/>
    <n v="3"/>
    <x v="0"/>
    <n v="3230"/>
    <n v="10531"/>
    <n v="1"/>
    <s v="Y"/>
    <x v="1"/>
    <n v="17"/>
    <n v="3"/>
    <n v="1"/>
    <n v="80"/>
    <n v="0"/>
    <n v="3"/>
    <n v="4"/>
    <n v="4"/>
    <x v="11"/>
    <m/>
    <n v="2"/>
    <n v="1"/>
    <n v="0"/>
  </r>
  <r>
    <n v="37"/>
    <x v="1"/>
    <x v="2"/>
    <n v="728"/>
    <x v="1"/>
    <n v="1"/>
    <n v="4"/>
    <x v="2"/>
    <n v="1"/>
    <n v="380"/>
    <n v="1"/>
    <x v="0"/>
    <n v="80"/>
    <n v="3"/>
    <n v="3"/>
    <x v="7"/>
    <n v="4"/>
    <x v="2"/>
    <n v="13603"/>
    <n v="11677"/>
    <n v="2"/>
    <s v="Y"/>
    <x v="0"/>
    <n v="18"/>
    <n v="3"/>
    <n v="1"/>
    <n v="80"/>
    <n v="2"/>
    <n v="15"/>
    <n v="2"/>
    <n v="3"/>
    <x v="8"/>
    <m/>
    <n v="2"/>
    <n v="0"/>
    <n v="2"/>
  </r>
  <r>
    <n v="35"/>
    <x v="1"/>
    <x v="0"/>
    <n v="1315"/>
    <x v="1"/>
    <n v="22"/>
    <n v="3"/>
    <x v="0"/>
    <n v="1"/>
    <n v="381"/>
    <n v="2"/>
    <x v="0"/>
    <n v="71"/>
    <n v="4"/>
    <n v="3"/>
    <x v="5"/>
    <n v="2"/>
    <x v="2"/>
    <n v="11996"/>
    <n v="19100"/>
    <n v="7"/>
    <s v="Y"/>
    <x v="1"/>
    <n v="18"/>
    <n v="3"/>
    <n v="2"/>
    <n v="80"/>
    <n v="1"/>
    <n v="10"/>
    <n v="6"/>
    <n v="2"/>
    <x v="5"/>
    <m/>
    <n v="7"/>
    <n v="6"/>
    <n v="2"/>
  </r>
  <r>
    <n v="38"/>
    <x v="1"/>
    <x v="0"/>
    <n v="322"/>
    <x v="0"/>
    <n v="7"/>
    <n v="2"/>
    <x v="2"/>
    <n v="1"/>
    <n v="382"/>
    <n v="1"/>
    <x v="0"/>
    <n v="44"/>
    <n v="4"/>
    <n v="2"/>
    <x v="0"/>
    <n v="1"/>
    <x v="2"/>
    <n v="5605"/>
    <n v="19191"/>
    <n v="1"/>
    <s v="Y"/>
    <x v="0"/>
    <n v="24"/>
    <n v="4"/>
    <n v="3"/>
    <n v="80"/>
    <n v="1"/>
    <n v="8"/>
    <n v="3"/>
    <n v="3"/>
    <x v="3"/>
    <m/>
    <n v="0"/>
    <n v="7"/>
    <n v="7"/>
  </r>
  <r>
    <n v="26"/>
    <x v="1"/>
    <x v="1"/>
    <n v="1479"/>
    <x v="1"/>
    <n v="1"/>
    <n v="3"/>
    <x v="0"/>
    <n v="1"/>
    <n v="384"/>
    <n v="3"/>
    <x v="0"/>
    <n v="84"/>
    <n v="3"/>
    <n v="2"/>
    <x v="3"/>
    <n v="2"/>
    <x v="2"/>
    <n v="6397"/>
    <n v="26767"/>
    <n v="1"/>
    <s v="Y"/>
    <x v="1"/>
    <n v="20"/>
    <n v="4"/>
    <n v="1"/>
    <n v="80"/>
    <n v="1"/>
    <n v="6"/>
    <n v="6"/>
    <n v="1"/>
    <x v="0"/>
    <m/>
    <n v="5"/>
    <n v="1"/>
    <n v="4"/>
  </r>
  <r>
    <n v="50"/>
    <x v="1"/>
    <x v="0"/>
    <n v="797"/>
    <x v="1"/>
    <n v="4"/>
    <n v="1"/>
    <x v="0"/>
    <n v="1"/>
    <n v="385"/>
    <n v="1"/>
    <x v="1"/>
    <n v="96"/>
    <n v="3"/>
    <n v="5"/>
    <x v="7"/>
    <n v="2"/>
    <x v="2"/>
    <n v="19144"/>
    <n v="15815"/>
    <n v="3"/>
    <s v="Y"/>
    <x v="1"/>
    <n v="14"/>
    <n v="3"/>
    <n v="1"/>
    <n v="80"/>
    <n v="2"/>
    <n v="28"/>
    <n v="4"/>
    <n v="2"/>
    <x v="1"/>
    <m/>
    <n v="4"/>
    <n v="1"/>
    <n v="6"/>
  </r>
  <r>
    <n v="53"/>
    <x v="1"/>
    <x v="0"/>
    <n v="1070"/>
    <x v="1"/>
    <n v="3"/>
    <n v="4"/>
    <x v="2"/>
    <n v="1"/>
    <n v="386"/>
    <n v="3"/>
    <x v="1"/>
    <n v="45"/>
    <n v="3"/>
    <n v="4"/>
    <x v="7"/>
    <n v="3"/>
    <x v="1"/>
    <n v="17584"/>
    <n v="21016"/>
    <n v="3"/>
    <s v="Y"/>
    <x v="0"/>
    <n v="16"/>
    <n v="3"/>
    <n v="4"/>
    <n v="80"/>
    <n v="3"/>
    <n v="21"/>
    <n v="5"/>
    <n v="2"/>
    <x v="8"/>
    <m/>
    <n v="3"/>
    <n v="1"/>
    <n v="3"/>
  </r>
  <r>
    <n v="42"/>
    <x v="1"/>
    <x v="0"/>
    <n v="635"/>
    <x v="0"/>
    <n v="1"/>
    <n v="1"/>
    <x v="0"/>
    <n v="1"/>
    <n v="387"/>
    <n v="2"/>
    <x v="1"/>
    <n v="99"/>
    <n v="3"/>
    <n v="2"/>
    <x v="0"/>
    <n v="3"/>
    <x v="1"/>
    <n v="4907"/>
    <n v="24532"/>
    <n v="1"/>
    <s v="Y"/>
    <x v="1"/>
    <n v="25"/>
    <n v="4"/>
    <n v="3"/>
    <n v="80"/>
    <n v="0"/>
    <n v="20"/>
    <n v="3"/>
    <n v="3"/>
    <x v="23"/>
    <m/>
    <n v="16"/>
    <n v="11"/>
    <n v="6"/>
  </r>
  <r>
    <n v="29"/>
    <x v="1"/>
    <x v="1"/>
    <n v="442"/>
    <x v="0"/>
    <n v="2"/>
    <n v="2"/>
    <x v="0"/>
    <n v="1"/>
    <n v="388"/>
    <n v="2"/>
    <x v="1"/>
    <n v="44"/>
    <n v="3"/>
    <n v="2"/>
    <x v="0"/>
    <n v="4"/>
    <x v="0"/>
    <n v="4554"/>
    <n v="20260"/>
    <n v="1"/>
    <s v="Y"/>
    <x v="1"/>
    <n v="18"/>
    <n v="3"/>
    <n v="1"/>
    <n v="80"/>
    <n v="0"/>
    <n v="10"/>
    <n v="3"/>
    <n v="2"/>
    <x v="1"/>
    <m/>
    <n v="7"/>
    <n v="0"/>
    <n v="9"/>
  </r>
  <r>
    <n v="55"/>
    <x v="1"/>
    <x v="0"/>
    <n v="147"/>
    <x v="1"/>
    <n v="20"/>
    <n v="2"/>
    <x v="4"/>
    <n v="1"/>
    <n v="389"/>
    <n v="2"/>
    <x v="1"/>
    <n v="37"/>
    <n v="3"/>
    <n v="2"/>
    <x v="2"/>
    <n v="4"/>
    <x v="1"/>
    <n v="5415"/>
    <n v="15972"/>
    <n v="3"/>
    <s v="Y"/>
    <x v="0"/>
    <n v="19"/>
    <n v="3"/>
    <n v="4"/>
    <n v="80"/>
    <n v="1"/>
    <n v="12"/>
    <n v="4"/>
    <n v="3"/>
    <x v="1"/>
    <m/>
    <n v="7"/>
    <n v="0"/>
    <n v="8"/>
  </r>
  <r>
    <n v="26"/>
    <x v="1"/>
    <x v="1"/>
    <n v="496"/>
    <x v="1"/>
    <n v="11"/>
    <n v="2"/>
    <x v="2"/>
    <n v="1"/>
    <n v="390"/>
    <n v="1"/>
    <x v="1"/>
    <n v="60"/>
    <n v="3"/>
    <n v="2"/>
    <x v="4"/>
    <n v="1"/>
    <x v="1"/>
    <n v="4741"/>
    <n v="22722"/>
    <n v="1"/>
    <s v="Y"/>
    <x v="0"/>
    <n v="13"/>
    <n v="3"/>
    <n v="3"/>
    <n v="80"/>
    <n v="1"/>
    <n v="5"/>
    <n v="3"/>
    <n v="3"/>
    <x v="8"/>
    <m/>
    <n v="3"/>
    <n v="3"/>
    <n v="3"/>
  </r>
  <r>
    <n v="37"/>
    <x v="1"/>
    <x v="0"/>
    <n v="1372"/>
    <x v="1"/>
    <n v="1"/>
    <n v="3"/>
    <x v="0"/>
    <n v="1"/>
    <n v="391"/>
    <n v="4"/>
    <x v="0"/>
    <n v="42"/>
    <n v="3"/>
    <n v="1"/>
    <x v="1"/>
    <n v="4"/>
    <x v="0"/>
    <n v="2115"/>
    <n v="15881"/>
    <n v="1"/>
    <s v="Y"/>
    <x v="1"/>
    <n v="12"/>
    <n v="3"/>
    <n v="2"/>
    <n v="80"/>
    <n v="0"/>
    <n v="17"/>
    <n v="3"/>
    <n v="3"/>
    <x v="18"/>
    <m/>
    <n v="12"/>
    <n v="5"/>
    <n v="7"/>
  </r>
  <r>
    <n v="44"/>
    <x v="0"/>
    <x v="1"/>
    <n v="920"/>
    <x v="1"/>
    <n v="24"/>
    <n v="3"/>
    <x v="0"/>
    <n v="1"/>
    <n v="392"/>
    <n v="4"/>
    <x v="1"/>
    <n v="43"/>
    <n v="3"/>
    <n v="1"/>
    <x v="2"/>
    <n v="3"/>
    <x v="2"/>
    <n v="3161"/>
    <n v="19920"/>
    <n v="3"/>
    <s v="Y"/>
    <x v="0"/>
    <n v="22"/>
    <n v="4"/>
    <n v="4"/>
    <n v="80"/>
    <n v="1"/>
    <n v="19"/>
    <n v="0"/>
    <n v="1"/>
    <x v="6"/>
    <m/>
    <n v="0"/>
    <n v="0"/>
    <n v="0"/>
  </r>
  <r>
    <n v="38"/>
    <x v="1"/>
    <x v="0"/>
    <n v="688"/>
    <x v="1"/>
    <n v="23"/>
    <n v="4"/>
    <x v="0"/>
    <n v="1"/>
    <n v="393"/>
    <n v="4"/>
    <x v="1"/>
    <n v="82"/>
    <n v="3"/>
    <n v="2"/>
    <x v="4"/>
    <n v="4"/>
    <x v="2"/>
    <n v="5745"/>
    <n v="18899"/>
    <n v="9"/>
    <s v="Y"/>
    <x v="1"/>
    <n v="14"/>
    <n v="3"/>
    <n v="2"/>
    <n v="80"/>
    <n v="1"/>
    <n v="10"/>
    <n v="2"/>
    <n v="3"/>
    <x v="4"/>
    <m/>
    <n v="2"/>
    <n v="1"/>
    <n v="2"/>
  </r>
  <r>
    <n v="26"/>
    <x v="0"/>
    <x v="0"/>
    <n v="1449"/>
    <x v="1"/>
    <n v="16"/>
    <n v="4"/>
    <x v="2"/>
    <n v="1"/>
    <n v="394"/>
    <n v="1"/>
    <x v="1"/>
    <n v="45"/>
    <n v="3"/>
    <n v="1"/>
    <x v="2"/>
    <n v="2"/>
    <x v="2"/>
    <n v="2373"/>
    <n v="14180"/>
    <n v="2"/>
    <s v="Y"/>
    <x v="0"/>
    <n v="13"/>
    <n v="3"/>
    <n v="4"/>
    <n v="80"/>
    <n v="1"/>
    <n v="5"/>
    <n v="2"/>
    <n v="3"/>
    <x v="11"/>
    <m/>
    <n v="2"/>
    <n v="0"/>
    <n v="2"/>
  </r>
  <r>
    <n v="28"/>
    <x v="1"/>
    <x v="0"/>
    <n v="1117"/>
    <x v="1"/>
    <n v="8"/>
    <n v="2"/>
    <x v="0"/>
    <n v="1"/>
    <n v="395"/>
    <n v="4"/>
    <x v="0"/>
    <n v="66"/>
    <n v="3"/>
    <n v="1"/>
    <x v="1"/>
    <n v="4"/>
    <x v="0"/>
    <n v="3310"/>
    <n v="4488"/>
    <n v="1"/>
    <s v="Y"/>
    <x v="1"/>
    <n v="21"/>
    <n v="4"/>
    <n v="4"/>
    <n v="80"/>
    <n v="0"/>
    <n v="5"/>
    <n v="3"/>
    <n v="3"/>
    <x v="8"/>
    <m/>
    <n v="3"/>
    <n v="0"/>
    <n v="2"/>
  </r>
  <r>
    <n v="49"/>
    <x v="1"/>
    <x v="1"/>
    <n v="636"/>
    <x v="1"/>
    <n v="10"/>
    <n v="4"/>
    <x v="0"/>
    <n v="1"/>
    <n v="396"/>
    <n v="3"/>
    <x v="0"/>
    <n v="35"/>
    <n v="3"/>
    <n v="5"/>
    <x v="7"/>
    <n v="1"/>
    <x v="0"/>
    <n v="18665"/>
    <n v="25594"/>
    <n v="9"/>
    <s v="Y"/>
    <x v="0"/>
    <n v="11"/>
    <n v="3"/>
    <n v="4"/>
    <n v="80"/>
    <n v="0"/>
    <n v="22"/>
    <n v="4"/>
    <n v="3"/>
    <x v="11"/>
    <m/>
    <n v="2"/>
    <n v="1"/>
    <n v="2"/>
  </r>
  <r>
    <n v="36"/>
    <x v="1"/>
    <x v="0"/>
    <n v="506"/>
    <x v="1"/>
    <n v="3"/>
    <n v="3"/>
    <x v="4"/>
    <n v="1"/>
    <n v="397"/>
    <n v="3"/>
    <x v="1"/>
    <n v="30"/>
    <n v="3"/>
    <n v="2"/>
    <x v="1"/>
    <n v="2"/>
    <x v="0"/>
    <n v="4485"/>
    <n v="26285"/>
    <n v="4"/>
    <s v="Y"/>
    <x v="1"/>
    <n v="12"/>
    <n v="3"/>
    <n v="4"/>
    <n v="80"/>
    <n v="0"/>
    <n v="10"/>
    <n v="2"/>
    <n v="3"/>
    <x v="3"/>
    <m/>
    <n v="0"/>
    <n v="7"/>
    <n v="7"/>
  </r>
  <r>
    <n v="31"/>
    <x v="1"/>
    <x v="1"/>
    <n v="444"/>
    <x v="0"/>
    <n v="5"/>
    <n v="3"/>
    <x v="3"/>
    <n v="1"/>
    <n v="399"/>
    <n v="4"/>
    <x v="0"/>
    <n v="84"/>
    <n v="3"/>
    <n v="1"/>
    <x v="6"/>
    <n v="2"/>
    <x v="2"/>
    <n v="2789"/>
    <n v="3909"/>
    <n v="1"/>
    <s v="Y"/>
    <x v="1"/>
    <n v="11"/>
    <n v="3"/>
    <n v="3"/>
    <n v="80"/>
    <n v="1"/>
    <n v="2"/>
    <n v="5"/>
    <n v="2"/>
    <x v="4"/>
    <m/>
    <n v="2"/>
    <n v="2"/>
    <n v="2"/>
  </r>
  <r>
    <n v="26"/>
    <x v="0"/>
    <x v="0"/>
    <n v="950"/>
    <x v="0"/>
    <n v="4"/>
    <n v="4"/>
    <x v="3"/>
    <n v="1"/>
    <n v="401"/>
    <n v="4"/>
    <x v="1"/>
    <n v="48"/>
    <n v="2"/>
    <n v="2"/>
    <x v="0"/>
    <n v="4"/>
    <x v="0"/>
    <n v="5828"/>
    <n v="8450"/>
    <n v="1"/>
    <s v="Y"/>
    <x v="0"/>
    <n v="12"/>
    <n v="3"/>
    <n v="2"/>
    <n v="80"/>
    <n v="0"/>
    <n v="8"/>
    <n v="0"/>
    <n v="3"/>
    <x v="3"/>
    <m/>
    <n v="7"/>
    <n v="7"/>
    <n v="4"/>
  </r>
  <r>
    <n v="37"/>
    <x v="1"/>
    <x v="1"/>
    <n v="889"/>
    <x v="1"/>
    <n v="9"/>
    <n v="3"/>
    <x v="2"/>
    <n v="1"/>
    <n v="403"/>
    <n v="2"/>
    <x v="1"/>
    <n v="53"/>
    <n v="3"/>
    <n v="1"/>
    <x v="1"/>
    <n v="4"/>
    <x v="1"/>
    <n v="2326"/>
    <n v="11411"/>
    <n v="1"/>
    <s v="Y"/>
    <x v="0"/>
    <n v="12"/>
    <n v="3"/>
    <n v="3"/>
    <n v="80"/>
    <n v="3"/>
    <n v="4"/>
    <n v="3"/>
    <n v="2"/>
    <x v="9"/>
    <m/>
    <n v="2"/>
    <n v="1"/>
    <n v="2"/>
  </r>
  <r>
    <n v="42"/>
    <x v="1"/>
    <x v="1"/>
    <n v="555"/>
    <x v="0"/>
    <n v="26"/>
    <n v="3"/>
    <x v="3"/>
    <n v="1"/>
    <n v="404"/>
    <n v="3"/>
    <x v="0"/>
    <n v="77"/>
    <n v="3"/>
    <n v="4"/>
    <x v="0"/>
    <n v="2"/>
    <x v="1"/>
    <n v="13525"/>
    <n v="14864"/>
    <n v="5"/>
    <s v="Y"/>
    <x v="1"/>
    <n v="14"/>
    <n v="3"/>
    <n v="4"/>
    <n v="80"/>
    <n v="1"/>
    <n v="23"/>
    <n v="2"/>
    <n v="4"/>
    <x v="23"/>
    <m/>
    <n v="4"/>
    <n v="4"/>
    <n v="8"/>
  </r>
  <r>
    <n v="18"/>
    <x v="0"/>
    <x v="0"/>
    <n v="230"/>
    <x v="1"/>
    <n v="3"/>
    <n v="3"/>
    <x v="0"/>
    <n v="1"/>
    <n v="405"/>
    <n v="3"/>
    <x v="1"/>
    <n v="54"/>
    <n v="3"/>
    <n v="1"/>
    <x v="2"/>
    <n v="3"/>
    <x v="0"/>
    <n v="1420"/>
    <n v="25233"/>
    <n v="1"/>
    <s v="Y"/>
    <x v="1"/>
    <n v="13"/>
    <n v="3"/>
    <n v="3"/>
    <n v="80"/>
    <n v="0"/>
    <n v="0"/>
    <n v="2"/>
    <n v="3"/>
    <x v="2"/>
    <m/>
    <n v="0"/>
    <n v="0"/>
    <n v="0"/>
  </r>
  <r>
    <n v="35"/>
    <x v="1"/>
    <x v="0"/>
    <n v="1232"/>
    <x v="0"/>
    <n v="16"/>
    <n v="3"/>
    <x v="3"/>
    <n v="1"/>
    <n v="406"/>
    <n v="3"/>
    <x v="1"/>
    <n v="96"/>
    <n v="3"/>
    <n v="3"/>
    <x v="0"/>
    <n v="2"/>
    <x v="1"/>
    <n v="8020"/>
    <n v="5100"/>
    <n v="0"/>
    <s v="Y"/>
    <x v="1"/>
    <n v="15"/>
    <n v="3"/>
    <n v="3"/>
    <n v="80"/>
    <n v="2"/>
    <n v="12"/>
    <n v="3"/>
    <n v="2"/>
    <x v="19"/>
    <m/>
    <n v="9"/>
    <n v="6"/>
    <n v="9"/>
  </r>
  <r>
    <n v="36"/>
    <x v="1"/>
    <x v="1"/>
    <n v="566"/>
    <x v="1"/>
    <n v="18"/>
    <n v="4"/>
    <x v="0"/>
    <n v="1"/>
    <n v="407"/>
    <n v="3"/>
    <x v="1"/>
    <n v="81"/>
    <n v="4"/>
    <n v="1"/>
    <x v="2"/>
    <n v="4"/>
    <x v="1"/>
    <n v="3688"/>
    <n v="7122"/>
    <n v="4"/>
    <s v="Y"/>
    <x v="1"/>
    <n v="18"/>
    <n v="3"/>
    <n v="4"/>
    <n v="80"/>
    <n v="2"/>
    <n v="4"/>
    <n v="2"/>
    <n v="3"/>
    <x v="6"/>
    <m/>
    <n v="0"/>
    <n v="0"/>
    <n v="0"/>
  </r>
  <r>
    <n v="51"/>
    <x v="1"/>
    <x v="0"/>
    <n v="1302"/>
    <x v="1"/>
    <n v="2"/>
    <n v="3"/>
    <x v="2"/>
    <n v="1"/>
    <n v="408"/>
    <n v="4"/>
    <x v="1"/>
    <n v="84"/>
    <n v="1"/>
    <n v="2"/>
    <x v="3"/>
    <n v="2"/>
    <x v="2"/>
    <n v="5482"/>
    <n v="16321"/>
    <n v="5"/>
    <s v="Y"/>
    <x v="1"/>
    <n v="18"/>
    <n v="3"/>
    <n v="4"/>
    <n v="80"/>
    <n v="1"/>
    <n v="13"/>
    <n v="3"/>
    <n v="3"/>
    <x v="9"/>
    <m/>
    <n v="1"/>
    <n v="1"/>
    <n v="2"/>
  </r>
  <r>
    <n v="41"/>
    <x v="1"/>
    <x v="0"/>
    <n v="334"/>
    <x v="0"/>
    <n v="2"/>
    <n v="4"/>
    <x v="0"/>
    <n v="1"/>
    <n v="410"/>
    <n v="4"/>
    <x v="1"/>
    <n v="88"/>
    <n v="3"/>
    <n v="4"/>
    <x v="5"/>
    <n v="2"/>
    <x v="0"/>
    <n v="16015"/>
    <n v="15896"/>
    <n v="1"/>
    <s v="Y"/>
    <x v="1"/>
    <n v="19"/>
    <n v="3"/>
    <n v="2"/>
    <n v="80"/>
    <n v="0"/>
    <n v="22"/>
    <n v="2"/>
    <n v="3"/>
    <x v="14"/>
    <m/>
    <n v="10"/>
    <n v="0"/>
    <n v="4"/>
  </r>
  <r>
    <n v="18"/>
    <x v="1"/>
    <x v="0"/>
    <n v="812"/>
    <x v="0"/>
    <n v="10"/>
    <n v="3"/>
    <x v="2"/>
    <n v="1"/>
    <n v="411"/>
    <n v="4"/>
    <x v="0"/>
    <n v="69"/>
    <n v="2"/>
    <n v="1"/>
    <x v="6"/>
    <n v="3"/>
    <x v="0"/>
    <n v="1200"/>
    <n v="9724"/>
    <n v="1"/>
    <s v="Y"/>
    <x v="1"/>
    <n v="12"/>
    <n v="3"/>
    <n v="1"/>
    <n v="80"/>
    <n v="0"/>
    <n v="0"/>
    <n v="2"/>
    <n v="3"/>
    <x v="2"/>
    <m/>
    <n v="0"/>
    <n v="0"/>
    <n v="0"/>
  </r>
  <r>
    <n v="28"/>
    <x v="1"/>
    <x v="0"/>
    <n v="1476"/>
    <x v="1"/>
    <n v="16"/>
    <n v="2"/>
    <x v="2"/>
    <n v="1"/>
    <n v="412"/>
    <n v="2"/>
    <x v="1"/>
    <n v="68"/>
    <n v="4"/>
    <n v="2"/>
    <x v="4"/>
    <n v="1"/>
    <x v="0"/>
    <n v="5661"/>
    <n v="4824"/>
    <n v="0"/>
    <s v="Y"/>
    <x v="1"/>
    <n v="19"/>
    <n v="3"/>
    <n v="3"/>
    <n v="80"/>
    <n v="0"/>
    <n v="9"/>
    <n v="2"/>
    <n v="3"/>
    <x v="3"/>
    <m/>
    <n v="3"/>
    <n v="0"/>
    <n v="7"/>
  </r>
  <r>
    <n v="31"/>
    <x v="1"/>
    <x v="0"/>
    <n v="218"/>
    <x v="0"/>
    <n v="7"/>
    <n v="3"/>
    <x v="4"/>
    <n v="1"/>
    <n v="416"/>
    <n v="2"/>
    <x v="1"/>
    <n v="100"/>
    <n v="4"/>
    <n v="2"/>
    <x v="0"/>
    <n v="4"/>
    <x v="1"/>
    <n v="6929"/>
    <n v="12241"/>
    <n v="4"/>
    <s v="Y"/>
    <x v="1"/>
    <n v="11"/>
    <n v="3"/>
    <n v="2"/>
    <n v="80"/>
    <n v="1"/>
    <n v="10"/>
    <n v="3"/>
    <n v="2"/>
    <x v="3"/>
    <m/>
    <n v="7"/>
    <n v="7"/>
    <n v="7"/>
  </r>
  <r>
    <n v="39"/>
    <x v="1"/>
    <x v="0"/>
    <n v="1132"/>
    <x v="1"/>
    <n v="1"/>
    <n v="3"/>
    <x v="2"/>
    <n v="1"/>
    <n v="417"/>
    <n v="3"/>
    <x v="1"/>
    <n v="48"/>
    <n v="4"/>
    <n v="3"/>
    <x v="4"/>
    <n v="4"/>
    <x v="2"/>
    <n v="9613"/>
    <n v="10942"/>
    <n v="0"/>
    <s v="Y"/>
    <x v="1"/>
    <n v="17"/>
    <n v="3"/>
    <n v="1"/>
    <n v="80"/>
    <n v="3"/>
    <n v="19"/>
    <n v="5"/>
    <n v="2"/>
    <x v="29"/>
    <m/>
    <n v="10"/>
    <n v="3"/>
    <n v="7"/>
  </r>
  <r>
    <n v="36"/>
    <x v="1"/>
    <x v="2"/>
    <n v="1105"/>
    <x v="1"/>
    <n v="24"/>
    <n v="4"/>
    <x v="0"/>
    <n v="1"/>
    <n v="419"/>
    <n v="2"/>
    <x v="0"/>
    <n v="47"/>
    <n v="3"/>
    <n v="2"/>
    <x v="2"/>
    <n v="2"/>
    <x v="1"/>
    <n v="5674"/>
    <n v="6927"/>
    <n v="7"/>
    <s v="Y"/>
    <x v="1"/>
    <n v="15"/>
    <n v="3"/>
    <n v="3"/>
    <n v="80"/>
    <n v="1"/>
    <n v="11"/>
    <n v="3"/>
    <n v="3"/>
    <x v="7"/>
    <m/>
    <n v="8"/>
    <n v="0"/>
    <n v="8"/>
  </r>
  <r>
    <n v="32"/>
    <x v="1"/>
    <x v="0"/>
    <n v="906"/>
    <x v="0"/>
    <n v="7"/>
    <n v="3"/>
    <x v="0"/>
    <n v="1"/>
    <n v="420"/>
    <n v="4"/>
    <x v="1"/>
    <n v="91"/>
    <n v="2"/>
    <n v="2"/>
    <x v="0"/>
    <n v="3"/>
    <x v="1"/>
    <n v="5484"/>
    <n v="16985"/>
    <n v="1"/>
    <s v="Y"/>
    <x v="1"/>
    <n v="14"/>
    <n v="3"/>
    <n v="3"/>
    <n v="80"/>
    <n v="1"/>
    <n v="13"/>
    <n v="3"/>
    <n v="2"/>
    <x v="20"/>
    <m/>
    <n v="8"/>
    <n v="4"/>
    <n v="8"/>
  </r>
  <r>
    <n v="38"/>
    <x v="1"/>
    <x v="0"/>
    <n v="849"/>
    <x v="1"/>
    <n v="25"/>
    <n v="2"/>
    <x v="0"/>
    <n v="1"/>
    <n v="421"/>
    <n v="1"/>
    <x v="0"/>
    <n v="81"/>
    <n v="2"/>
    <n v="3"/>
    <x v="7"/>
    <n v="2"/>
    <x v="1"/>
    <n v="12061"/>
    <n v="26707"/>
    <n v="3"/>
    <s v="Y"/>
    <x v="1"/>
    <n v="17"/>
    <n v="3"/>
    <n v="3"/>
    <n v="80"/>
    <n v="1"/>
    <n v="19"/>
    <n v="2"/>
    <n v="3"/>
    <x v="1"/>
    <m/>
    <n v="8"/>
    <n v="0"/>
    <n v="1"/>
  </r>
  <r>
    <n v="58"/>
    <x v="1"/>
    <x v="2"/>
    <n v="390"/>
    <x v="1"/>
    <n v="1"/>
    <n v="4"/>
    <x v="0"/>
    <n v="1"/>
    <n v="422"/>
    <n v="4"/>
    <x v="1"/>
    <n v="32"/>
    <n v="1"/>
    <n v="2"/>
    <x v="4"/>
    <n v="3"/>
    <x v="2"/>
    <n v="5660"/>
    <n v="17056"/>
    <n v="2"/>
    <s v="Y"/>
    <x v="0"/>
    <n v="13"/>
    <n v="3"/>
    <n v="4"/>
    <n v="80"/>
    <n v="1"/>
    <n v="12"/>
    <n v="2"/>
    <n v="3"/>
    <x v="8"/>
    <m/>
    <n v="3"/>
    <n v="1"/>
    <n v="2"/>
  </r>
  <r>
    <n v="31"/>
    <x v="1"/>
    <x v="0"/>
    <n v="691"/>
    <x v="1"/>
    <n v="5"/>
    <n v="4"/>
    <x v="4"/>
    <n v="1"/>
    <n v="423"/>
    <n v="3"/>
    <x v="1"/>
    <n v="86"/>
    <n v="3"/>
    <n v="1"/>
    <x v="1"/>
    <n v="4"/>
    <x v="1"/>
    <n v="4821"/>
    <n v="10077"/>
    <n v="0"/>
    <s v="Y"/>
    <x v="0"/>
    <n v="12"/>
    <n v="3"/>
    <n v="3"/>
    <n v="80"/>
    <n v="1"/>
    <n v="6"/>
    <n v="4"/>
    <n v="3"/>
    <x v="8"/>
    <m/>
    <n v="2"/>
    <n v="0"/>
    <n v="3"/>
  </r>
  <r>
    <n v="31"/>
    <x v="1"/>
    <x v="0"/>
    <n v="106"/>
    <x v="2"/>
    <n v="2"/>
    <n v="3"/>
    <x v="5"/>
    <n v="1"/>
    <n v="424"/>
    <n v="1"/>
    <x v="1"/>
    <n v="62"/>
    <n v="2"/>
    <n v="2"/>
    <x v="8"/>
    <n v="1"/>
    <x v="1"/>
    <n v="6410"/>
    <n v="17822"/>
    <n v="3"/>
    <s v="Y"/>
    <x v="1"/>
    <n v="12"/>
    <n v="3"/>
    <n v="4"/>
    <n v="80"/>
    <n v="0"/>
    <n v="9"/>
    <n v="1"/>
    <n v="3"/>
    <x v="4"/>
    <m/>
    <n v="2"/>
    <n v="1"/>
    <n v="0"/>
  </r>
  <r>
    <n v="45"/>
    <x v="1"/>
    <x v="1"/>
    <n v="1249"/>
    <x v="1"/>
    <n v="7"/>
    <n v="3"/>
    <x v="0"/>
    <n v="1"/>
    <n v="425"/>
    <n v="1"/>
    <x v="1"/>
    <n v="97"/>
    <n v="3"/>
    <n v="3"/>
    <x v="2"/>
    <n v="1"/>
    <x v="2"/>
    <n v="5210"/>
    <n v="20308"/>
    <n v="1"/>
    <s v="Y"/>
    <x v="1"/>
    <n v="18"/>
    <n v="3"/>
    <n v="1"/>
    <n v="80"/>
    <n v="1"/>
    <n v="24"/>
    <n v="2"/>
    <n v="3"/>
    <x v="25"/>
    <m/>
    <n v="9"/>
    <n v="9"/>
    <n v="11"/>
  </r>
  <r>
    <n v="31"/>
    <x v="1"/>
    <x v="0"/>
    <n v="192"/>
    <x v="1"/>
    <n v="2"/>
    <n v="4"/>
    <x v="0"/>
    <n v="1"/>
    <n v="426"/>
    <n v="3"/>
    <x v="1"/>
    <n v="32"/>
    <n v="3"/>
    <n v="1"/>
    <x v="1"/>
    <n v="4"/>
    <x v="2"/>
    <n v="2695"/>
    <n v="7747"/>
    <n v="0"/>
    <s v="Y"/>
    <x v="0"/>
    <n v="18"/>
    <n v="3"/>
    <n v="2"/>
    <n v="80"/>
    <n v="1"/>
    <n v="3"/>
    <n v="2"/>
    <n v="1"/>
    <x v="4"/>
    <m/>
    <n v="2"/>
    <n v="2"/>
    <n v="2"/>
  </r>
  <r>
    <n v="33"/>
    <x v="1"/>
    <x v="1"/>
    <n v="553"/>
    <x v="1"/>
    <n v="5"/>
    <n v="4"/>
    <x v="0"/>
    <n v="1"/>
    <n v="428"/>
    <n v="4"/>
    <x v="0"/>
    <n v="74"/>
    <n v="3"/>
    <n v="3"/>
    <x v="5"/>
    <n v="2"/>
    <x v="1"/>
    <n v="11878"/>
    <n v="23364"/>
    <n v="6"/>
    <s v="Y"/>
    <x v="1"/>
    <n v="11"/>
    <n v="3"/>
    <n v="2"/>
    <n v="80"/>
    <n v="2"/>
    <n v="12"/>
    <n v="2"/>
    <n v="3"/>
    <x v="1"/>
    <m/>
    <n v="6"/>
    <n v="8"/>
    <n v="8"/>
  </r>
  <r>
    <n v="39"/>
    <x v="1"/>
    <x v="0"/>
    <n v="117"/>
    <x v="1"/>
    <n v="10"/>
    <n v="1"/>
    <x v="2"/>
    <n v="1"/>
    <n v="429"/>
    <n v="3"/>
    <x v="1"/>
    <n v="99"/>
    <n v="3"/>
    <n v="4"/>
    <x v="5"/>
    <n v="1"/>
    <x v="1"/>
    <n v="17068"/>
    <n v="5355"/>
    <n v="1"/>
    <s v="Y"/>
    <x v="0"/>
    <n v="14"/>
    <n v="3"/>
    <n v="4"/>
    <n v="80"/>
    <n v="0"/>
    <n v="21"/>
    <n v="3"/>
    <n v="3"/>
    <x v="17"/>
    <m/>
    <n v="9"/>
    <n v="11"/>
    <n v="10"/>
  </r>
  <r>
    <n v="43"/>
    <x v="1"/>
    <x v="1"/>
    <n v="185"/>
    <x v="1"/>
    <n v="10"/>
    <n v="4"/>
    <x v="0"/>
    <n v="1"/>
    <n v="430"/>
    <n v="3"/>
    <x v="0"/>
    <n v="33"/>
    <n v="3"/>
    <n v="1"/>
    <x v="2"/>
    <n v="4"/>
    <x v="0"/>
    <n v="2455"/>
    <n v="10675"/>
    <n v="0"/>
    <s v="Y"/>
    <x v="1"/>
    <n v="19"/>
    <n v="3"/>
    <n v="1"/>
    <n v="80"/>
    <n v="0"/>
    <n v="9"/>
    <n v="5"/>
    <n v="3"/>
    <x v="3"/>
    <m/>
    <n v="7"/>
    <n v="1"/>
    <n v="7"/>
  </r>
  <r>
    <n v="49"/>
    <x v="1"/>
    <x v="0"/>
    <n v="1091"/>
    <x v="1"/>
    <n v="1"/>
    <n v="2"/>
    <x v="4"/>
    <n v="1"/>
    <n v="431"/>
    <n v="3"/>
    <x v="0"/>
    <n v="90"/>
    <n v="2"/>
    <n v="4"/>
    <x v="4"/>
    <n v="3"/>
    <x v="0"/>
    <n v="13964"/>
    <n v="17810"/>
    <n v="7"/>
    <s v="Y"/>
    <x v="0"/>
    <n v="12"/>
    <n v="3"/>
    <n v="4"/>
    <n v="80"/>
    <n v="0"/>
    <n v="25"/>
    <n v="2"/>
    <n v="3"/>
    <x v="5"/>
    <m/>
    <n v="1"/>
    <n v="0"/>
    <n v="7"/>
  </r>
  <r>
    <n v="52"/>
    <x v="0"/>
    <x v="0"/>
    <n v="723"/>
    <x v="1"/>
    <n v="8"/>
    <n v="4"/>
    <x v="2"/>
    <n v="1"/>
    <n v="433"/>
    <n v="3"/>
    <x v="1"/>
    <n v="85"/>
    <n v="2"/>
    <n v="2"/>
    <x v="1"/>
    <n v="2"/>
    <x v="1"/>
    <n v="4941"/>
    <n v="17747"/>
    <n v="2"/>
    <s v="Y"/>
    <x v="1"/>
    <n v="15"/>
    <n v="3"/>
    <n v="1"/>
    <n v="80"/>
    <n v="0"/>
    <n v="11"/>
    <n v="3"/>
    <n v="2"/>
    <x v="3"/>
    <m/>
    <n v="2"/>
    <n v="7"/>
    <n v="7"/>
  </r>
  <r>
    <n v="27"/>
    <x v="1"/>
    <x v="0"/>
    <n v="1220"/>
    <x v="1"/>
    <n v="5"/>
    <n v="3"/>
    <x v="0"/>
    <n v="1"/>
    <n v="434"/>
    <n v="3"/>
    <x v="0"/>
    <n v="85"/>
    <n v="3"/>
    <n v="1"/>
    <x v="1"/>
    <n v="2"/>
    <x v="0"/>
    <n v="2478"/>
    <n v="20938"/>
    <n v="1"/>
    <s v="Y"/>
    <x v="0"/>
    <n v="12"/>
    <n v="3"/>
    <n v="2"/>
    <n v="80"/>
    <n v="0"/>
    <n v="4"/>
    <n v="2"/>
    <n v="2"/>
    <x v="9"/>
    <m/>
    <n v="3"/>
    <n v="1"/>
    <n v="2"/>
  </r>
  <r>
    <n v="32"/>
    <x v="1"/>
    <x v="0"/>
    <n v="588"/>
    <x v="0"/>
    <n v="8"/>
    <n v="2"/>
    <x v="4"/>
    <n v="1"/>
    <n v="436"/>
    <n v="3"/>
    <x v="0"/>
    <n v="65"/>
    <n v="2"/>
    <n v="2"/>
    <x v="0"/>
    <n v="2"/>
    <x v="1"/>
    <n v="5228"/>
    <n v="24624"/>
    <n v="1"/>
    <s v="Y"/>
    <x v="0"/>
    <n v="11"/>
    <n v="3"/>
    <n v="4"/>
    <n v="80"/>
    <n v="0"/>
    <n v="13"/>
    <n v="2"/>
    <n v="3"/>
    <x v="20"/>
    <m/>
    <n v="12"/>
    <n v="11"/>
    <n v="9"/>
  </r>
  <r>
    <n v="27"/>
    <x v="1"/>
    <x v="0"/>
    <n v="1377"/>
    <x v="0"/>
    <n v="2"/>
    <n v="3"/>
    <x v="0"/>
    <n v="1"/>
    <n v="437"/>
    <n v="4"/>
    <x v="1"/>
    <n v="74"/>
    <n v="3"/>
    <n v="2"/>
    <x v="0"/>
    <n v="3"/>
    <x v="0"/>
    <n v="4478"/>
    <n v="5242"/>
    <n v="1"/>
    <s v="Y"/>
    <x v="0"/>
    <n v="11"/>
    <n v="3"/>
    <n v="1"/>
    <n v="80"/>
    <n v="0"/>
    <n v="5"/>
    <n v="3"/>
    <n v="3"/>
    <x v="8"/>
    <m/>
    <n v="4"/>
    <n v="0"/>
    <n v="4"/>
  </r>
  <r>
    <n v="31"/>
    <x v="1"/>
    <x v="0"/>
    <n v="691"/>
    <x v="0"/>
    <n v="7"/>
    <n v="3"/>
    <x v="3"/>
    <n v="1"/>
    <n v="438"/>
    <n v="4"/>
    <x v="1"/>
    <n v="73"/>
    <n v="3"/>
    <n v="2"/>
    <x v="0"/>
    <n v="4"/>
    <x v="2"/>
    <n v="7547"/>
    <n v="7143"/>
    <n v="4"/>
    <s v="Y"/>
    <x v="1"/>
    <n v="12"/>
    <n v="3"/>
    <n v="4"/>
    <n v="80"/>
    <n v="3"/>
    <n v="13"/>
    <n v="3"/>
    <n v="3"/>
    <x v="5"/>
    <m/>
    <n v="7"/>
    <n v="1"/>
    <n v="7"/>
  </r>
  <r>
    <n v="32"/>
    <x v="1"/>
    <x v="0"/>
    <n v="1018"/>
    <x v="1"/>
    <n v="2"/>
    <n v="4"/>
    <x v="2"/>
    <n v="1"/>
    <n v="439"/>
    <n v="1"/>
    <x v="0"/>
    <n v="74"/>
    <n v="4"/>
    <n v="2"/>
    <x v="1"/>
    <n v="4"/>
    <x v="0"/>
    <n v="5055"/>
    <n v="10557"/>
    <n v="7"/>
    <s v="Y"/>
    <x v="1"/>
    <n v="16"/>
    <n v="3"/>
    <n v="3"/>
    <n v="80"/>
    <n v="0"/>
    <n v="10"/>
    <n v="0"/>
    <n v="2"/>
    <x v="5"/>
    <m/>
    <n v="7"/>
    <n v="0"/>
    <n v="7"/>
  </r>
  <r>
    <n v="28"/>
    <x v="0"/>
    <x v="0"/>
    <n v="1157"/>
    <x v="1"/>
    <n v="2"/>
    <n v="4"/>
    <x v="2"/>
    <n v="1"/>
    <n v="440"/>
    <n v="1"/>
    <x v="1"/>
    <n v="84"/>
    <n v="1"/>
    <n v="1"/>
    <x v="1"/>
    <n v="4"/>
    <x v="1"/>
    <n v="3464"/>
    <n v="24737"/>
    <n v="5"/>
    <s v="Y"/>
    <x v="0"/>
    <n v="13"/>
    <n v="3"/>
    <n v="4"/>
    <n v="80"/>
    <n v="0"/>
    <n v="5"/>
    <n v="4"/>
    <n v="2"/>
    <x v="11"/>
    <m/>
    <n v="2"/>
    <n v="2"/>
    <n v="2"/>
  </r>
  <r>
    <n v="30"/>
    <x v="1"/>
    <x v="0"/>
    <n v="1275"/>
    <x v="1"/>
    <n v="28"/>
    <n v="2"/>
    <x v="2"/>
    <n v="1"/>
    <n v="441"/>
    <n v="4"/>
    <x v="0"/>
    <n v="64"/>
    <n v="3"/>
    <n v="2"/>
    <x v="1"/>
    <n v="4"/>
    <x v="1"/>
    <n v="5775"/>
    <n v="11934"/>
    <n v="1"/>
    <s v="Y"/>
    <x v="1"/>
    <n v="13"/>
    <n v="3"/>
    <n v="4"/>
    <n v="80"/>
    <n v="2"/>
    <n v="11"/>
    <n v="2"/>
    <n v="3"/>
    <x v="1"/>
    <m/>
    <n v="8"/>
    <n v="1"/>
    <n v="9"/>
  </r>
  <r>
    <n v="31"/>
    <x v="1"/>
    <x v="1"/>
    <n v="798"/>
    <x v="1"/>
    <n v="7"/>
    <n v="2"/>
    <x v="0"/>
    <n v="1"/>
    <n v="442"/>
    <n v="3"/>
    <x v="0"/>
    <n v="48"/>
    <n v="2"/>
    <n v="3"/>
    <x v="3"/>
    <n v="3"/>
    <x v="1"/>
    <n v="8943"/>
    <n v="14034"/>
    <n v="1"/>
    <s v="Y"/>
    <x v="1"/>
    <n v="24"/>
    <n v="4"/>
    <n v="1"/>
    <n v="80"/>
    <n v="1"/>
    <n v="10"/>
    <n v="2"/>
    <n v="3"/>
    <x v="1"/>
    <m/>
    <n v="9"/>
    <n v="8"/>
    <n v="9"/>
  </r>
  <r>
    <n v="39"/>
    <x v="1"/>
    <x v="1"/>
    <n v="672"/>
    <x v="1"/>
    <n v="7"/>
    <n v="2"/>
    <x v="2"/>
    <n v="1"/>
    <n v="444"/>
    <n v="3"/>
    <x v="1"/>
    <n v="54"/>
    <n v="2"/>
    <n v="5"/>
    <x v="5"/>
    <n v="4"/>
    <x v="1"/>
    <n v="19272"/>
    <n v="21141"/>
    <n v="1"/>
    <s v="Y"/>
    <x v="1"/>
    <n v="15"/>
    <n v="3"/>
    <n v="1"/>
    <n v="80"/>
    <n v="1"/>
    <n v="21"/>
    <n v="2"/>
    <n v="3"/>
    <x v="17"/>
    <m/>
    <n v="9"/>
    <n v="13"/>
    <n v="3"/>
  </r>
  <r>
    <n v="39"/>
    <x v="0"/>
    <x v="0"/>
    <n v="1162"/>
    <x v="0"/>
    <n v="3"/>
    <n v="2"/>
    <x v="2"/>
    <n v="1"/>
    <n v="445"/>
    <n v="4"/>
    <x v="0"/>
    <n v="41"/>
    <n v="3"/>
    <n v="2"/>
    <x v="0"/>
    <n v="3"/>
    <x v="1"/>
    <n v="5238"/>
    <n v="17778"/>
    <n v="4"/>
    <s v="Y"/>
    <x v="0"/>
    <n v="18"/>
    <n v="3"/>
    <n v="1"/>
    <n v="80"/>
    <n v="0"/>
    <n v="12"/>
    <n v="3"/>
    <n v="2"/>
    <x v="6"/>
    <m/>
    <n v="0"/>
    <n v="0"/>
    <n v="0"/>
  </r>
  <r>
    <n v="33"/>
    <x v="1"/>
    <x v="1"/>
    <n v="508"/>
    <x v="0"/>
    <n v="10"/>
    <n v="3"/>
    <x v="3"/>
    <n v="1"/>
    <n v="446"/>
    <n v="2"/>
    <x v="1"/>
    <n v="46"/>
    <n v="2"/>
    <n v="2"/>
    <x v="0"/>
    <n v="4"/>
    <x v="0"/>
    <n v="4682"/>
    <n v="4317"/>
    <n v="3"/>
    <s v="Y"/>
    <x v="1"/>
    <n v="14"/>
    <n v="3"/>
    <n v="3"/>
    <n v="80"/>
    <n v="0"/>
    <n v="9"/>
    <n v="6"/>
    <n v="2"/>
    <x v="5"/>
    <m/>
    <n v="7"/>
    <n v="0"/>
    <n v="1"/>
  </r>
  <r>
    <n v="47"/>
    <x v="1"/>
    <x v="0"/>
    <n v="1482"/>
    <x v="1"/>
    <n v="5"/>
    <n v="5"/>
    <x v="0"/>
    <n v="1"/>
    <n v="447"/>
    <n v="4"/>
    <x v="1"/>
    <n v="42"/>
    <n v="3"/>
    <n v="5"/>
    <x v="7"/>
    <n v="3"/>
    <x v="1"/>
    <n v="18300"/>
    <n v="16375"/>
    <n v="4"/>
    <s v="Y"/>
    <x v="1"/>
    <n v="11"/>
    <n v="3"/>
    <n v="2"/>
    <n v="80"/>
    <n v="1"/>
    <n v="21"/>
    <n v="2"/>
    <n v="3"/>
    <x v="11"/>
    <m/>
    <n v="2"/>
    <n v="1"/>
    <n v="1"/>
  </r>
  <r>
    <n v="43"/>
    <x v="1"/>
    <x v="1"/>
    <n v="559"/>
    <x v="1"/>
    <n v="10"/>
    <n v="4"/>
    <x v="0"/>
    <n v="1"/>
    <n v="448"/>
    <n v="3"/>
    <x v="0"/>
    <n v="82"/>
    <n v="2"/>
    <n v="2"/>
    <x v="2"/>
    <n v="3"/>
    <x v="2"/>
    <n v="5257"/>
    <n v="6227"/>
    <n v="1"/>
    <s v="Y"/>
    <x v="1"/>
    <n v="11"/>
    <n v="3"/>
    <n v="2"/>
    <n v="80"/>
    <n v="1"/>
    <n v="9"/>
    <n v="3"/>
    <n v="4"/>
    <x v="7"/>
    <m/>
    <n v="7"/>
    <n v="0"/>
    <n v="0"/>
  </r>
  <r>
    <n v="27"/>
    <x v="1"/>
    <x v="2"/>
    <n v="210"/>
    <x v="0"/>
    <n v="1"/>
    <n v="1"/>
    <x v="3"/>
    <n v="1"/>
    <n v="449"/>
    <n v="3"/>
    <x v="1"/>
    <n v="73"/>
    <n v="3"/>
    <n v="2"/>
    <x v="0"/>
    <n v="2"/>
    <x v="1"/>
    <n v="6349"/>
    <n v="22107"/>
    <n v="0"/>
    <s v="Y"/>
    <x v="0"/>
    <n v="13"/>
    <n v="3"/>
    <n v="4"/>
    <n v="80"/>
    <n v="1"/>
    <n v="6"/>
    <n v="0"/>
    <n v="3"/>
    <x v="8"/>
    <m/>
    <n v="4"/>
    <n v="1"/>
    <n v="4"/>
  </r>
  <r>
    <n v="54"/>
    <x v="1"/>
    <x v="1"/>
    <n v="928"/>
    <x v="1"/>
    <n v="20"/>
    <n v="4"/>
    <x v="0"/>
    <n v="1"/>
    <n v="450"/>
    <n v="4"/>
    <x v="0"/>
    <n v="31"/>
    <n v="3"/>
    <n v="2"/>
    <x v="1"/>
    <n v="3"/>
    <x v="0"/>
    <n v="4869"/>
    <n v="16885"/>
    <n v="3"/>
    <s v="Y"/>
    <x v="1"/>
    <n v="12"/>
    <n v="3"/>
    <n v="4"/>
    <n v="80"/>
    <n v="0"/>
    <n v="20"/>
    <n v="4"/>
    <n v="2"/>
    <x v="9"/>
    <m/>
    <n v="3"/>
    <n v="0"/>
    <n v="3"/>
  </r>
  <r>
    <n v="43"/>
    <x v="1"/>
    <x v="0"/>
    <n v="1001"/>
    <x v="1"/>
    <n v="7"/>
    <n v="3"/>
    <x v="0"/>
    <n v="1"/>
    <n v="451"/>
    <n v="3"/>
    <x v="0"/>
    <n v="43"/>
    <n v="3"/>
    <n v="3"/>
    <x v="4"/>
    <n v="1"/>
    <x v="1"/>
    <n v="9985"/>
    <n v="9262"/>
    <n v="8"/>
    <s v="Y"/>
    <x v="1"/>
    <n v="16"/>
    <n v="3"/>
    <n v="1"/>
    <n v="80"/>
    <n v="1"/>
    <n v="10"/>
    <n v="1"/>
    <n v="2"/>
    <x v="6"/>
    <m/>
    <n v="0"/>
    <n v="0"/>
    <n v="0"/>
  </r>
  <r>
    <n v="45"/>
    <x v="1"/>
    <x v="0"/>
    <n v="549"/>
    <x v="1"/>
    <n v="8"/>
    <n v="4"/>
    <x v="1"/>
    <n v="1"/>
    <n v="452"/>
    <n v="4"/>
    <x v="1"/>
    <n v="75"/>
    <n v="3"/>
    <n v="2"/>
    <x v="1"/>
    <n v="4"/>
    <x v="1"/>
    <n v="3697"/>
    <n v="9278"/>
    <n v="9"/>
    <s v="Y"/>
    <x v="1"/>
    <n v="14"/>
    <n v="3"/>
    <n v="1"/>
    <n v="80"/>
    <n v="2"/>
    <n v="12"/>
    <n v="3"/>
    <n v="3"/>
    <x v="1"/>
    <m/>
    <n v="9"/>
    <n v="9"/>
    <n v="8"/>
  </r>
  <r>
    <n v="40"/>
    <x v="1"/>
    <x v="0"/>
    <n v="1124"/>
    <x v="0"/>
    <n v="1"/>
    <n v="2"/>
    <x v="2"/>
    <n v="1"/>
    <n v="453"/>
    <n v="2"/>
    <x v="1"/>
    <n v="57"/>
    <n v="1"/>
    <n v="2"/>
    <x v="0"/>
    <n v="4"/>
    <x v="1"/>
    <n v="7457"/>
    <n v="13273"/>
    <n v="2"/>
    <s v="Y"/>
    <x v="0"/>
    <n v="22"/>
    <n v="4"/>
    <n v="3"/>
    <n v="80"/>
    <n v="3"/>
    <n v="6"/>
    <n v="2"/>
    <n v="2"/>
    <x v="9"/>
    <m/>
    <n v="3"/>
    <n v="0"/>
    <n v="2"/>
  </r>
  <r>
    <n v="29"/>
    <x v="0"/>
    <x v="0"/>
    <n v="318"/>
    <x v="1"/>
    <n v="8"/>
    <n v="4"/>
    <x v="1"/>
    <n v="1"/>
    <n v="454"/>
    <n v="2"/>
    <x v="1"/>
    <n v="77"/>
    <n v="1"/>
    <n v="1"/>
    <x v="2"/>
    <n v="1"/>
    <x v="1"/>
    <n v="2119"/>
    <n v="4759"/>
    <n v="1"/>
    <s v="Y"/>
    <x v="0"/>
    <n v="11"/>
    <n v="3"/>
    <n v="4"/>
    <n v="80"/>
    <n v="0"/>
    <n v="7"/>
    <n v="4"/>
    <n v="2"/>
    <x v="5"/>
    <m/>
    <n v="7"/>
    <n v="0"/>
    <n v="7"/>
  </r>
  <r>
    <n v="29"/>
    <x v="1"/>
    <x v="0"/>
    <n v="738"/>
    <x v="1"/>
    <n v="9"/>
    <n v="5"/>
    <x v="1"/>
    <n v="1"/>
    <n v="455"/>
    <n v="2"/>
    <x v="1"/>
    <n v="30"/>
    <n v="2"/>
    <n v="1"/>
    <x v="2"/>
    <n v="4"/>
    <x v="0"/>
    <n v="3983"/>
    <n v="7621"/>
    <n v="0"/>
    <s v="Y"/>
    <x v="1"/>
    <n v="17"/>
    <n v="3"/>
    <n v="3"/>
    <n v="80"/>
    <n v="0"/>
    <n v="4"/>
    <n v="2"/>
    <n v="3"/>
    <x v="11"/>
    <m/>
    <n v="2"/>
    <n v="2"/>
    <n v="2"/>
  </r>
  <r>
    <n v="30"/>
    <x v="1"/>
    <x v="0"/>
    <n v="570"/>
    <x v="0"/>
    <n v="5"/>
    <n v="3"/>
    <x v="3"/>
    <n v="1"/>
    <n v="456"/>
    <n v="4"/>
    <x v="0"/>
    <n v="30"/>
    <n v="2"/>
    <n v="2"/>
    <x v="0"/>
    <n v="3"/>
    <x v="2"/>
    <n v="6118"/>
    <n v="5431"/>
    <n v="1"/>
    <s v="Y"/>
    <x v="1"/>
    <n v="13"/>
    <n v="3"/>
    <n v="3"/>
    <n v="80"/>
    <n v="3"/>
    <n v="10"/>
    <n v="2"/>
    <n v="3"/>
    <x v="1"/>
    <m/>
    <n v="9"/>
    <n v="1"/>
    <n v="2"/>
  </r>
  <r>
    <n v="27"/>
    <x v="1"/>
    <x v="0"/>
    <n v="1130"/>
    <x v="0"/>
    <n v="8"/>
    <n v="4"/>
    <x v="3"/>
    <n v="1"/>
    <n v="458"/>
    <n v="2"/>
    <x v="0"/>
    <n v="56"/>
    <n v="3"/>
    <n v="2"/>
    <x v="0"/>
    <n v="2"/>
    <x v="1"/>
    <n v="6214"/>
    <n v="3415"/>
    <n v="1"/>
    <s v="Y"/>
    <x v="1"/>
    <n v="18"/>
    <n v="3"/>
    <n v="1"/>
    <n v="80"/>
    <n v="1"/>
    <n v="8"/>
    <n v="3"/>
    <n v="3"/>
    <x v="3"/>
    <m/>
    <n v="7"/>
    <n v="0"/>
    <n v="7"/>
  </r>
  <r>
    <n v="37"/>
    <x v="1"/>
    <x v="0"/>
    <n v="1192"/>
    <x v="1"/>
    <n v="5"/>
    <n v="2"/>
    <x v="2"/>
    <n v="1"/>
    <n v="460"/>
    <n v="4"/>
    <x v="1"/>
    <n v="61"/>
    <n v="3"/>
    <n v="2"/>
    <x v="3"/>
    <n v="4"/>
    <x v="2"/>
    <n v="6347"/>
    <n v="23177"/>
    <n v="7"/>
    <s v="Y"/>
    <x v="1"/>
    <n v="16"/>
    <n v="3"/>
    <n v="3"/>
    <n v="80"/>
    <n v="2"/>
    <n v="8"/>
    <n v="2"/>
    <n v="2"/>
    <x v="0"/>
    <m/>
    <n v="2"/>
    <n v="0"/>
    <n v="4"/>
  </r>
  <r>
    <n v="38"/>
    <x v="1"/>
    <x v="0"/>
    <n v="343"/>
    <x v="1"/>
    <n v="15"/>
    <n v="2"/>
    <x v="0"/>
    <n v="1"/>
    <n v="461"/>
    <n v="3"/>
    <x v="1"/>
    <n v="92"/>
    <n v="2"/>
    <n v="3"/>
    <x v="7"/>
    <n v="4"/>
    <x v="2"/>
    <n v="11510"/>
    <n v="15682"/>
    <n v="0"/>
    <s v="Y"/>
    <x v="0"/>
    <n v="14"/>
    <n v="3"/>
    <n v="2"/>
    <n v="80"/>
    <n v="1"/>
    <n v="12"/>
    <n v="3"/>
    <n v="3"/>
    <x v="19"/>
    <m/>
    <n v="10"/>
    <n v="2"/>
    <n v="9"/>
  </r>
  <r>
    <n v="31"/>
    <x v="1"/>
    <x v="0"/>
    <n v="1232"/>
    <x v="1"/>
    <n v="7"/>
    <n v="4"/>
    <x v="2"/>
    <n v="1"/>
    <n v="462"/>
    <n v="3"/>
    <x v="0"/>
    <n v="39"/>
    <n v="3"/>
    <n v="3"/>
    <x v="3"/>
    <n v="4"/>
    <x v="0"/>
    <n v="7143"/>
    <n v="25713"/>
    <n v="1"/>
    <s v="Y"/>
    <x v="0"/>
    <n v="14"/>
    <n v="3"/>
    <n v="3"/>
    <n v="80"/>
    <n v="0"/>
    <n v="11"/>
    <n v="2"/>
    <n v="2"/>
    <x v="19"/>
    <m/>
    <n v="9"/>
    <n v="4"/>
    <n v="10"/>
  </r>
  <r>
    <n v="29"/>
    <x v="1"/>
    <x v="0"/>
    <n v="144"/>
    <x v="0"/>
    <n v="10"/>
    <n v="1"/>
    <x v="3"/>
    <n v="1"/>
    <n v="463"/>
    <n v="4"/>
    <x v="0"/>
    <n v="39"/>
    <n v="2"/>
    <n v="2"/>
    <x v="0"/>
    <n v="2"/>
    <x v="2"/>
    <n v="8268"/>
    <n v="11866"/>
    <n v="1"/>
    <s v="Y"/>
    <x v="0"/>
    <n v="14"/>
    <n v="3"/>
    <n v="1"/>
    <n v="80"/>
    <n v="2"/>
    <n v="7"/>
    <n v="2"/>
    <n v="3"/>
    <x v="5"/>
    <m/>
    <n v="7"/>
    <n v="1"/>
    <n v="7"/>
  </r>
  <r>
    <n v="35"/>
    <x v="1"/>
    <x v="0"/>
    <n v="1296"/>
    <x v="1"/>
    <n v="5"/>
    <n v="4"/>
    <x v="4"/>
    <n v="1"/>
    <n v="464"/>
    <n v="3"/>
    <x v="1"/>
    <n v="62"/>
    <n v="3"/>
    <n v="3"/>
    <x v="3"/>
    <n v="2"/>
    <x v="0"/>
    <n v="8095"/>
    <n v="18264"/>
    <n v="0"/>
    <s v="Y"/>
    <x v="1"/>
    <n v="13"/>
    <n v="3"/>
    <n v="4"/>
    <n v="80"/>
    <n v="0"/>
    <n v="17"/>
    <n v="5"/>
    <n v="3"/>
    <x v="22"/>
    <m/>
    <n v="6"/>
    <n v="0"/>
    <n v="13"/>
  </r>
  <r>
    <n v="23"/>
    <x v="1"/>
    <x v="0"/>
    <n v="1309"/>
    <x v="1"/>
    <n v="26"/>
    <n v="1"/>
    <x v="0"/>
    <n v="1"/>
    <n v="465"/>
    <n v="3"/>
    <x v="1"/>
    <n v="83"/>
    <n v="3"/>
    <n v="1"/>
    <x v="1"/>
    <n v="4"/>
    <x v="2"/>
    <n v="2904"/>
    <n v="16092"/>
    <n v="1"/>
    <s v="Y"/>
    <x v="1"/>
    <n v="12"/>
    <n v="3"/>
    <n v="3"/>
    <n v="80"/>
    <n v="2"/>
    <n v="4"/>
    <n v="2"/>
    <n v="2"/>
    <x v="9"/>
    <m/>
    <n v="2"/>
    <n v="0"/>
    <n v="2"/>
  </r>
  <r>
    <n v="41"/>
    <x v="1"/>
    <x v="0"/>
    <n v="483"/>
    <x v="1"/>
    <n v="6"/>
    <n v="3"/>
    <x v="2"/>
    <n v="1"/>
    <n v="466"/>
    <n v="4"/>
    <x v="1"/>
    <n v="95"/>
    <n v="2"/>
    <n v="2"/>
    <x v="3"/>
    <n v="2"/>
    <x v="0"/>
    <n v="6032"/>
    <n v="10110"/>
    <n v="6"/>
    <s v="Y"/>
    <x v="0"/>
    <n v="15"/>
    <n v="3"/>
    <n v="4"/>
    <n v="80"/>
    <n v="0"/>
    <n v="8"/>
    <n v="3"/>
    <n v="3"/>
    <x v="8"/>
    <m/>
    <n v="4"/>
    <n v="1"/>
    <n v="2"/>
  </r>
  <r>
    <n v="47"/>
    <x v="1"/>
    <x v="1"/>
    <n v="1309"/>
    <x v="0"/>
    <n v="4"/>
    <n v="1"/>
    <x v="2"/>
    <n v="1"/>
    <n v="467"/>
    <n v="2"/>
    <x v="1"/>
    <n v="99"/>
    <n v="3"/>
    <n v="2"/>
    <x v="6"/>
    <n v="3"/>
    <x v="0"/>
    <n v="2976"/>
    <n v="25751"/>
    <n v="3"/>
    <s v="Y"/>
    <x v="1"/>
    <n v="19"/>
    <n v="3"/>
    <n v="1"/>
    <n v="80"/>
    <n v="0"/>
    <n v="5"/>
    <n v="3"/>
    <n v="3"/>
    <x v="2"/>
    <m/>
    <n v="0"/>
    <n v="0"/>
    <n v="0"/>
  </r>
  <r>
    <n v="42"/>
    <x v="1"/>
    <x v="0"/>
    <n v="810"/>
    <x v="1"/>
    <n v="23"/>
    <n v="5"/>
    <x v="0"/>
    <n v="1"/>
    <n v="468"/>
    <n v="1"/>
    <x v="0"/>
    <n v="44"/>
    <n v="3"/>
    <n v="4"/>
    <x v="7"/>
    <n v="4"/>
    <x v="0"/>
    <n v="15992"/>
    <n v="15901"/>
    <n v="2"/>
    <s v="Y"/>
    <x v="1"/>
    <n v="14"/>
    <n v="3"/>
    <n v="2"/>
    <n v="80"/>
    <n v="0"/>
    <n v="16"/>
    <n v="2"/>
    <n v="3"/>
    <x v="6"/>
    <m/>
    <n v="0"/>
    <n v="0"/>
    <n v="0"/>
  </r>
  <r>
    <n v="29"/>
    <x v="1"/>
    <x v="2"/>
    <n v="746"/>
    <x v="0"/>
    <n v="2"/>
    <n v="3"/>
    <x v="0"/>
    <n v="1"/>
    <n v="469"/>
    <n v="4"/>
    <x v="1"/>
    <n v="61"/>
    <n v="3"/>
    <n v="2"/>
    <x v="0"/>
    <n v="3"/>
    <x v="1"/>
    <n v="4649"/>
    <n v="16928"/>
    <n v="1"/>
    <s v="Y"/>
    <x v="1"/>
    <n v="14"/>
    <n v="3"/>
    <n v="1"/>
    <n v="80"/>
    <n v="1"/>
    <n v="4"/>
    <n v="3"/>
    <n v="2"/>
    <x v="9"/>
    <m/>
    <n v="3"/>
    <n v="0"/>
    <n v="2"/>
  </r>
  <r>
    <n v="42"/>
    <x v="1"/>
    <x v="0"/>
    <n v="544"/>
    <x v="2"/>
    <n v="2"/>
    <n v="1"/>
    <x v="4"/>
    <n v="1"/>
    <n v="470"/>
    <n v="3"/>
    <x v="1"/>
    <n v="52"/>
    <n v="3"/>
    <n v="1"/>
    <x v="8"/>
    <n v="3"/>
    <x v="2"/>
    <n v="2696"/>
    <n v="24017"/>
    <n v="0"/>
    <s v="Y"/>
    <x v="0"/>
    <n v="11"/>
    <n v="3"/>
    <n v="3"/>
    <n v="80"/>
    <n v="1"/>
    <n v="4"/>
    <n v="5"/>
    <n v="3"/>
    <x v="11"/>
    <m/>
    <n v="2"/>
    <n v="1"/>
    <n v="0"/>
  </r>
  <r>
    <n v="32"/>
    <x v="1"/>
    <x v="0"/>
    <n v="1062"/>
    <x v="1"/>
    <n v="2"/>
    <n v="3"/>
    <x v="2"/>
    <n v="1"/>
    <n v="471"/>
    <n v="3"/>
    <x v="0"/>
    <n v="75"/>
    <n v="3"/>
    <n v="1"/>
    <x v="2"/>
    <n v="2"/>
    <x v="1"/>
    <n v="2370"/>
    <n v="3956"/>
    <n v="1"/>
    <s v="Y"/>
    <x v="1"/>
    <n v="13"/>
    <n v="3"/>
    <n v="3"/>
    <n v="80"/>
    <n v="1"/>
    <n v="8"/>
    <n v="4"/>
    <n v="3"/>
    <x v="3"/>
    <m/>
    <n v="0"/>
    <n v="0"/>
    <n v="7"/>
  </r>
  <r>
    <n v="48"/>
    <x v="1"/>
    <x v="0"/>
    <n v="530"/>
    <x v="0"/>
    <n v="29"/>
    <n v="1"/>
    <x v="2"/>
    <n v="1"/>
    <n v="473"/>
    <n v="1"/>
    <x v="0"/>
    <n v="91"/>
    <n v="3"/>
    <n v="3"/>
    <x v="5"/>
    <n v="3"/>
    <x v="1"/>
    <n v="12504"/>
    <n v="23978"/>
    <n v="3"/>
    <s v="Y"/>
    <x v="1"/>
    <n v="21"/>
    <n v="4"/>
    <n v="2"/>
    <n v="80"/>
    <n v="1"/>
    <n v="15"/>
    <n v="3"/>
    <n v="1"/>
    <x v="2"/>
    <m/>
    <n v="0"/>
    <n v="0"/>
    <n v="0"/>
  </r>
  <r>
    <n v="37"/>
    <x v="1"/>
    <x v="0"/>
    <n v="1319"/>
    <x v="1"/>
    <n v="6"/>
    <n v="3"/>
    <x v="2"/>
    <n v="1"/>
    <n v="474"/>
    <n v="3"/>
    <x v="1"/>
    <n v="51"/>
    <n v="4"/>
    <n v="2"/>
    <x v="1"/>
    <n v="1"/>
    <x v="2"/>
    <n v="5974"/>
    <n v="17001"/>
    <n v="4"/>
    <s v="Y"/>
    <x v="0"/>
    <n v="13"/>
    <n v="3"/>
    <n v="1"/>
    <n v="80"/>
    <n v="2"/>
    <n v="13"/>
    <n v="2"/>
    <n v="3"/>
    <x v="5"/>
    <m/>
    <n v="7"/>
    <n v="6"/>
    <n v="7"/>
  </r>
  <r>
    <n v="30"/>
    <x v="1"/>
    <x v="2"/>
    <n v="641"/>
    <x v="0"/>
    <n v="25"/>
    <n v="2"/>
    <x v="4"/>
    <n v="1"/>
    <n v="475"/>
    <n v="4"/>
    <x v="0"/>
    <n v="85"/>
    <n v="3"/>
    <n v="2"/>
    <x v="0"/>
    <n v="3"/>
    <x v="1"/>
    <n v="4736"/>
    <n v="6069"/>
    <n v="7"/>
    <s v="Y"/>
    <x v="0"/>
    <n v="12"/>
    <n v="3"/>
    <n v="2"/>
    <n v="80"/>
    <n v="1"/>
    <n v="4"/>
    <n v="2"/>
    <n v="4"/>
    <x v="4"/>
    <m/>
    <n v="2"/>
    <n v="2"/>
    <n v="2"/>
  </r>
  <r>
    <n v="26"/>
    <x v="1"/>
    <x v="0"/>
    <n v="933"/>
    <x v="0"/>
    <n v="1"/>
    <n v="3"/>
    <x v="0"/>
    <n v="1"/>
    <n v="476"/>
    <n v="3"/>
    <x v="1"/>
    <n v="57"/>
    <n v="3"/>
    <n v="2"/>
    <x v="0"/>
    <n v="3"/>
    <x v="1"/>
    <n v="5296"/>
    <n v="20156"/>
    <n v="1"/>
    <s v="Y"/>
    <x v="1"/>
    <n v="17"/>
    <n v="3"/>
    <n v="2"/>
    <n v="80"/>
    <n v="1"/>
    <n v="8"/>
    <n v="3"/>
    <n v="3"/>
    <x v="3"/>
    <m/>
    <n v="7"/>
    <n v="7"/>
    <n v="7"/>
  </r>
  <r>
    <n v="42"/>
    <x v="1"/>
    <x v="0"/>
    <n v="1332"/>
    <x v="1"/>
    <n v="2"/>
    <n v="4"/>
    <x v="1"/>
    <n v="1"/>
    <n v="477"/>
    <n v="1"/>
    <x v="1"/>
    <n v="98"/>
    <n v="2"/>
    <n v="2"/>
    <x v="4"/>
    <n v="4"/>
    <x v="0"/>
    <n v="6781"/>
    <n v="17078"/>
    <n v="3"/>
    <s v="Y"/>
    <x v="1"/>
    <n v="23"/>
    <n v="4"/>
    <n v="2"/>
    <n v="80"/>
    <n v="0"/>
    <n v="14"/>
    <n v="6"/>
    <n v="3"/>
    <x v="6"/>
    <m/>
    <n v="0"/>
    <n v="0"/>
    <n v="0"/>
  </r>
  <r>
    <n v="21"/>
    <x v="0"/>
    <x v="1"/>
    <n v="756"/>
    <x v="0"/>
    <n v="1"/>
    <n v="1"/>
    <x v="4"/>
    <n v="1"/>
    <n v="478"/>
    <n v="1"/>
    <x v="0"/>
    <n v="99"/>
    <n v="2"/>
    <n v="1"/>
    <x v="6"/>
    <n v="2"/>
    <x v="0"/>
    <n v="2174"/>
    <n v="9150"/>
    <n v="1"/>
    <s v="Y"/>
    <x v="0"/>
    <n v="11"/>
    <n v="3"/>
    <n v="3"/>
    <n v="80"/>
    <n v="0"/>
    <n v="3"/>
    <n v="3"/>
    <n v="3"/>
    <x v="11"/>
    <m/>
    <n v="2"/>
    <n v="1"/>
    <n v="2"/>
  </r>
  <r>
    <n v="36"/>
    <x v="1"/>
    <x v="2"/>
    <n v="845"/>
    <x v="0"/>
    <n v="1"/>
    <n v="5"/>
    <x v="2"/>
    <n v="1"/>
    <n v="479"/>
    <n v="4"/>
    <x v="0"/>
    <n v="45"/>
    <n v="3"/>
    <n v="2"/>
    <x v="0"/>
    <n v="4"/>
    <x v="0"/>
    <n v="6653"/>
    <n v="15276"/>
    <n v="4"/>
    <s v="Y"/>
    <x v="1"/>
    <n v="15"/>
    <n v="3"/>
    <n v="2"/>
    <n v="80"/>
    <n v="0"/>
    <n v="7"/>
    <n v="6"/>
    <n v="3"/>
    <x v="6"/>
    <m/>
    <n v="0"/>
    <n v="0"/>
    <n v="0"/>
  </r>
  <r>
    <n v="36"/>
    <x v="1"/>
    <x v="1"/>
    <n v="541"/>
    <x v="0"/>
    <n v="3"/>
    <n v="4"/>
    <x v="2"/>
    <n v="1"/>
    <n v="481"/>
    <n v="1"/>
    <x v="1"/>
    <n v="48"/>
    <n v="2"/>
    <n v="3"/>
    <x v="0"/>
    <n v="4"/>
    <x v="1"/>
    <n v="9699"/>
    <n v="7246"/>
    <n v="4"/>
    <s v="Y"/>
    <x v="1"/>
    <n v="11"/>
    <n v="3"/>
    <n v="1"/>
    <n v="80"/>
    <n v="1"/>
    <n v="16"/>
    <n v="2"/>
    <n v="3"/>
    <x v="20"/>
    <m/>
    <n v="9"/>
    <n v="1"/>
    <n v="12"/>
  </r>
  <r>
    <n v="57"/>
    <x v="1"/>
    <x v="0"/>
    <n v="593"/>
    <x v="1"/>
    <n v="1"/>
    <n v="4"/>
    <x v="2"/>
    <n v="1"/>
    <n v="482"/>
    <n v="4"/>
    <x v="1"/>
    <n v="88"/>
    <n v="3"/>
    <n v="2"/>
    <x v="4"/>
    <n v="3"/>
    <x v="1"/>
    <n v="6755"/>
    <n v="2967"/>
    <n v="2"/>
    <s v="Y"/>
    <x v="1"/>
    <n v="11"/>
    <n v="3"/>
    <n v="3"/>
    <n v="80"/>
    <n v="0"/>
    <n v="15"/>
    <n v="2"/>
    <n v="3"/>
    <x v="11"/>
    <m/>
    <n v="2"/>
    <n v="1"/>
    <n v="2"/>
  </r>
  <r>
    <n v="40"/>
    <x v="1"/>
    <x v="0"/>
    <n v="1171"/>
    <x v="1"/>
    <n v="10"/>
    <n v="4"/>
    <x v="0"/>
    <n v="1"/>
    <n v="483"/>
    <n v="4"/>
    <x v="0"/>
    <n v="46"/>
    <n v="4"/>
    <n v="1"/>
    <x v="2"/>
    <n v="3"/>
    <x v="1"/>
    <n v="2213"/>
    <n v="22495"/>
    <n v="3"/>
    <s v="Y"/>
    <x v="0"/>
    <n v="13"/>
    <n v="3"/>
    <n v="3"/>
    <n v="80"/>
    <n v="1"/>
    <n v="10"/>
    <n v="3"/>
    <n v="3"/>
    <x v="5"/>
    <m/>
    <n v="7"/>
    <n v="1"/>
    <n v="7"/>
  </r>
  <r>
    <n v="21"/>
    <x v="1"/>
    <x v="2"/>
    <n v="895"/>
    <x v="0"/>
    <n v="9"/>
    <n v="2"/>
    <x v="2"/>
    <n v="1"/>
    <n v="484"/>
    <n v="1"/>
    <x v="1"/>
    <n v="39"/>
    <n v="3"/>
    <n v="1"/>
    <x v="6"/>
    <n v="4"/>
    <x v="0"/>
    <n v="2610"/>
    <n v="2851"/>
    <n v="1"/>
    <s v="Y"/>
    <x v="1"/>
    <n v="24"/>
    <n v="4"/>
    <n v="3"/>
    <n v="80"/>
    <n v="0"/>
    <n v="3"/>
    <n v="3"/>
    <n v="2"/>
    <x v="11"/>
    <m/>
    <n v="2"/>
    <n v="2"/>
    <n v="2"/>
  </r>
  <r>
    <n v="33"/>
    <x v="0"/>
    <x v="0"/>
    <n v="350"/>
    <x v="0"/>
    <n v="5"/>
    <n v="3"/>
    <x v="3"/>
    <n v="1"/>
    <n v="485"/>
    <n v="4"/>
    <x v="0"/>
    <n v="34"/>
    <n v="3"/>
    <n v="1"/>
    <x v="6"/>
    <n v="3"/>
    <x v="0"/>
    <n v="2851"/>
    <n v="9150"/>
    <n v="1"/>
    <s v="Y"/>
    <x v="0"/>
    <n v="13"/>
    <n v="3"/>
    <n v="2"/>
    <n v="80"/>
    <n v="0"/>
    <n v="1"/>
    <n v="2"/>
    <n v="3"/>
    <x v="6"/>
    <m/>
    <n v="0"/>
    <n v="0"/>
    <n v="0"/>
  </r>
  <r>
    <n v="37"/>
    <x v="1"/>
    <x v="0"/>
    <n v="921"/>
    <x v="1"/>
    <n v="10"/>
    <n v="3"/>
    <x v="2"/>
    <n v="1"/>
    <n v="486"/>
    <n v="3"/>
    <x v="0"/>
    <n v="98"/>
    <n v="3"/>
    <n v="1"/>
    <x v="2"/>
    <n v="1"/>
    <x v="1"/>
    <n v="3452"/>
    <n v="17663"/>
    <n v="6"/>
    <s v="Y"/>
    <x v="1"/>
    <n v="20"/>
    <n v="4"/>
    <n v="2"/>
    <n v="80"/>
    <n v="1"/>
    <n v="17"/>
    <n v="3"/>
    <n v="3"/>
    <x v="8"/>
    <m/>
    <n v="4"/>
    <n v="0"/>
    <n v="3"/>
  </r>
  <r>
    <n v="46"/>
    <x v="1"/>
    <x v="2"/>
    <n v="1144"/>
    <x v="1"/>
    <n v="7"/>
    <n v="4"/>
    <x v="2"/>
    <n v="1"/>
    <n v="487"/>
    <n v="3"/>
    <x v="0"/>
    <n v="30"/>
    <n v="3"/>
    <n v="2"/>
    <x v="3"/>
    <n v="3"/>
    <x v="1"/>
    <n v="5258"/>
    <n v="16044"/>
    <n v="2"/>
    <s v="Y"/>
    <x v="1"/>
    <n v="14"/>
    <n v="3"/>
    <n v="3"/>
    <n v="80"/>
    <n v="0"/>
    <n v="7"/>
    <n v="2"/>
    <n v="4"/>
    <x v="6"/>
    <m/>
    <n v="0"/>
    <n v="0"/>
    <n v="0"/>
  </r>
  <r>
    <n v="41"/>
    <x v="0"/>
    <x v="1"/>
    <n v="143"/>
    <x v="0"/>
    <n v="4"/>
    <n v="3"/>
    <x v="3"/>
    <n v="1"/>
    <n v="488"/>
    <n v="1"/>
    <x v="1"/>
    <n v="56"/>
    <n v="3"/>
    <n v="2"/>
    <x v="0"/>
    <n v="2"/>
    <x v="0"/>
    <n v="9355"/>
    <n v="9558"/>
    <n v="1"/>
    <s v="Y"/>
    <x v="1"/>
    <n v="18"/>
    <n v="3"/>
    <n v="3"/>
    <n v="80"/>
    <n v="0"/>
    <n v="8"/>
    <n v="5"/>
    <n v="3"/>
    <x v="3"/>
    <m/>
    <n v="7"/>
    <n v="7"/>
    <n v="7"/>
  </r>
  <r>
    <n v="50"/>
    <x v="1"/>
    <x v="0"/>
    <n v="1046"/>
    <x v="1"/>
    <n v="10"/>
    <n v="3"/>
    <x v="4"/>
    <n v="1"/>
    <n v="491"/>
    <n v="4"/>
    <x v="1"/>
    <n v="100"/>
    <n v="2"/>
    <n v="3"/>
    <x v="4"/>
    <n v="4"/>
    <x v="0"/>
    <n v="10496"/>
    <n v="2755"/>
    <n v="6"/>
    <s v="Y"/>
    <x v="1"/>
    <n v="15"/>
    <n v="3"/>
    <n v="4"/>
    <n v="80"/>
    <n v="0"/>
    <n v="20"/>
    <n v="2"/>
    <n v="3"/>
    <x v="9"/>
    <m/>
    <n v="3"/>
    <n v="1"/>
    <n v="3"/>
  </r>
  <r>
    <n v="40"/>
    <x v="0"/>
    <x v="0"/>
    <n v="575"/>
    <x v="0"/>
    <n v="22"/>
    <n v="2"/>
    <x v="3"/>
    <n v="1"/>
    <n v="492"/>
    <n v="3"/>
    <x v="1"/>
    <n v="68"/>
    <n v="2"/>
    <n v="2"/>
    <x v="0"/>
    <n v="3"/>
    <x v="1"/>
    <n v="6380"/>
    <n v="6110"/>
    <n v="2"/>
    <s v="Y"/>
    <x v="0"/>
    <n v="12"/>
    <n v="3"/>
    <n v="1"/>
    <n v="80"/>
    <n v="2"/>
    <n v="8"/>
    <n v="6"/>
    <n v="3"/>
    <x v="0"/>
    <m/>
    <n v="4"/>
    <n v="1"/>
    <n v="0"/>
  </r>
  <r>
    <n v="31"/>
    <x v="1"/>
    <x v="0"/>
    <n v="408"/>
    <x v="1"/>
    <n v="9"/>
    <n v="4"/>
    <x v="0"/>
    <n v="1"/>
    <n v="493"/>
    <n v="3"/>
    <x v="1"/>
    <n v="42"/>
    <n v="2"/>
    <n v="1"/>
    <x v="1"/>
    <n v="2"/>
    <x v="0"/>
    <n v="2657"/>
    <n v="7551"/>
    <n v="0"/>
    <s v="Y"/>
    <x v="0"/>
    <n v="16"/>
    <n v="3"/>
    <n v="4"/>
    <n v="80"/>
    <n v="0"/>
    <n v="3"/>
    <n v="5"/>
    <n v="3"/>
    <x v="4"/>
    <m/>
    <n v="2"/>
    <n v="2"/>
    <n v="2"/>
  </r>
  <r>
    <n v="21"/>
    <x v="0"/>
    <x v="0"/>
    <n v="156"/>
    <x v="0"/>
    <n v="12"/>
    <n v="3"/>
    <x v="0"/>
    <n v="1"/>
    <n v="494"/>
    <n v="3"/>
    <x v="0"/>
    <n v="90"/>
    <n v="4"/>
    <n v="1"/>
    <x v="6"/>
    <n v="2"/>
    <x v="0"/>
    <n v="2716"/>
    <n v="25422"/>
    <n v="1"/>
    <s v="Y"/>
    <x v="1"/>
    <n v="15"/>
    <n v="3"/>
    <n v="4"/>
    <n v="80"/>
    <n v="0"/>
    <n v="1"/>
    <n v="0"/>
    <n v="3"/>
    <x v="6"/>
    <m/>
    <n v="0"/>
    <n v="0"/>
    <n v="0"/>
  </r>
  <r>
    <n v="29"/>
    <x v="1"/>
    <x v="0"/>
    <n v="1283"/>
    <x v="1"/>
    <n v="23"/>
    <n v="3"/>
    <x v="0"/>
    <n v="1"/>
    <n v="495"/>
    <n v="4"/>
    <x v="1"/>
    <n v="54"/>
    <n v="3"/>
    <n v="1"/>
    <x v="1"/>
    <n v="4"/>
    <x v="0"/>
    <n v="2201"/>
    <n v="18168"/>
    <n v="9"/>
    <s v="Y"/>
    <x v="1"/>
    <n v="16"/>
    <n v="3"/>
    <n v="4"/>
    <n v="80"/>
    <n v="0"/>
    <n v="6"/>
    <n v="4"/>
    <n v="3"/>
    <x v="11"/>
    <m/>
    <n v="2"/>
    <n v="1"/>
    <n v="2"/>
  </r>
  <r>
    <n v="35"/>
    <x v="1"/>
    <x v="0"/>
    <n v="755"/>
    <x v="1"/>
    <n v="9"/>
    <n v="4"/>
    <x v="0"/>
    <n v="1"/>
    <n v="496"/>
    <n v="3"/>
    <x v="1"/>
    <n v="97"/>
    <n v="2"/>
    <n v="2"/>
    <x v="4"/>
    <n v="2"/>
    <x v="0"/>
    <n v="6540"/>
    <n v="19394"/>
    <n v="9"/>
    <s v="Y"/>
    <x v="1"/>
    <n v="19"/>
    <n v="3"/>
    <n v="3"/>
    <n v="80"/>
    <n v="0"/>
    <n v="10"/>
    <n v="5"/>
    <n v="3"/>
    <x v="6"/>
    <m/>
    <n v="1"/>
    <n v="0"/>
    <n v="0"/>
  </r>
  <r>
    <n v="27"/>
    <x v="1"/>
    <x v="0"/>
    <n v="1469"/>
    <x v="1"/>
    <n v="1"/>
    <n v="2"/>
    <x v="2"/>
    <n v="1"/>
    <n v="497"/>
    <n v="4"/>
    <x v="1"/>
    <n v="82"/>
    <n v="3"/>
    <n v="1"/>
    <x v="2"/>
    <n v="2"/>
    <x v="2"/>
    <n v="3816"/>
    <n v="17881"/>
    <n v="1"/>
    <s v="Y"/>
    <x v="1"/>
    <n v="11"/>
    <n v="3"/>
    <n v="2"/>
    <n v="80"/>
    <n v="1"/>
    <n v="5"/>
    <n v="2"/>
    <n v="3"/>
    <x v="8"/>
    <m/>
    <n v="2"/>
    <n v="0"/>
    <n v="4"/>
  </r>
  <r>
    <n v="28"/>
    <x v="1"/>
    <x v="0"/>
    <n v="304"/>
    <x v="0"/>
    <n v="9"/>
    <n v="4"/>
    <x v="0"/>
    <n v="1"/>
    <n v="498"/>
    <n v="2"/>
    <x v="1"/>
    <n v="92"/>
    <n v="3"/>
    <n v="2"/>
    <x v="0"/>
    <n v="4"/>
    <x v="0"/>
    <n v="5253"/>
    <n v="20750"/>
    <n v="1"/>
    <s v="Y"/>
    <x v="1"/>
    <n v="16"/>
    <n v="3"/>
    <n v="4"/>
    <n v="80"/>
    <n v="0"/>
    <n v="7"/>
    <n v="1"/>
    <n v="3"/>
    <x v="5"/>
    <m/>
    <n v="5"/>
    <n v="0"/>
    <n v="7"/>
  </r>
  <r>
    <n v="49"/>
    <x v="1"/>
    <x v="0"/>
    <n v="1261"/>
    <x v="1"/>
    <n v="7"/>
    <n v="3"/>
    <x v="1"/>
    <n v="1"/>
    <n v="499"/>
    <n v="2"/>
    <x v="1"/>
    <n v="31"/>
    <n v="2"/>
    <n v="3"/>
    <x v="4"/>
    <n v="3"/>
    <x v="0"/>
    <n v="10965"/>
    <n v="12066"/>
    <n v="8"/>
    <s v="Y"/>
    <x v="1"/>
    <n v="24"/>
    <n v="4"/>
    <n v="3"/>
    <n v="80"/>
    <n v="0"/>
    <n v="26"/>
    <n v="2"/>
    <n v="3"/>
    <x v="8"/>
    <m/>
    <n v="2"/>
    <n v="0"/>
    <n v="0"/>
  </r>
  <r>
    <n v="51"/>
    <x v="1"/>
    <x v="0"/>
    <n v="1178"/>
    <x v="0"/>
    <n v="14"/>
    <n v="2"/>
    <x v="0"/>
    <n v="1"/>
    <n v="500"/>
    <n v="3"/>
    <x v="0"/>
    <n v="87"/>
    <n v="3"/>
    <n v="2"/>
    <x v="0"/>
    <n v="4"/>
    <x v="1"/>
    <n v="4936"/>
    <n v="14862"/>
    <n v="4"/>
    <s v="Y"/>
    <x v="1"/>
    <n v="11"/>
    <n v="3"/>
    <n v="3"/>
    <n v="80"/>
    <n v="1"/>
    <n v="18"/>
    <n v="2"/>
    <n v="2"/>
    <x v="5"/>
    <m/>
    <n v="7"/>
    <n v="0"/>
    <n v="7"/>
  </r>
  <r>
    <n v="36"/>
    <x v="1"/>
    <x v="0"/>
    <n v="329"/>
    <x v="1"/>
    <n v="2"/>
    <n v="3"/>
    <x v="0"/>
    <n v="1"/>
    <n v="501"/>
    <n v="4"/>
    <x v="0"/>
    <n v="96"/>
    <n v="3"/>
    <n v="1"/>
    <x v="1"/>
    <n v="3"/>
    <x v="1"/>
    <n v="2543"/>
    <n v="11868"/>
    <n v="4"/>
    <s v="Y"/>
    <x v="1"/>
    <n v="13"/>
    <n v="3"/>
    <n v="2"/>
    <n v="80"/>
    <n v="1"/>
    <n v="6"/>
    <n v="3"/>
    <n v="3"/>
    <x v="4"/>
    <m/>
    <n v="2"/>
    <n v="2"/>
    <n v="2"/>
  </r>
  <r>
    <n v="34"/>
    <x v="0"/>
    <x v="2"/>
    <n v="1362"/>
    <x v="0"/>
    <n v="19"/>
    <n v="3"/>
    <x v="3"/>
    <n v="1"/>
    <n v="502"/>
    <n v="1"/>
    <x v="1"/>
    <n v="67"/>
    <n v="4"/>
    <n v="2"/>
    <x v="0"/>
    <n v="4"/>
    <x v="0"/>
    <n v="5304"/>
    <n v="4652"/>
    <n v="8"/>
    <s v="Y"/>
    <x v="0"/>
    <n v="13"/>
    <n v="3"/>
    <n v="2"/>
    <n v="80"/>
    <n v="0"/>
    <n v="9"/>
    <n v="3"/>
    <n v="2"/>
    <x v="8"/>
    <m/>
    <n v="2"/>
    <n v="0"/>
    <n v="4"/>
  </r>
  <r>
    <n v="55"/>
    <x v="1"/>
    <x v="0"/>
    <n v="1311"/>
    <x v="1"/>
    <n v="2"/>
    <n v="3"/>
    <x v="0"/>
    <n v="1"/>
    <n v="505"/>
    <n v="3"/>
    <x v="0"/>
    <n v="97"/>
    <n v="3"/>
    <n v="4"/>
    <x v="5"/>
    <n v="4"/>
    <x v="0"/>
    <n v="16659"/>
    <n v="23258"/>
    <n v="2"/>
    <s v="Y"/>
    <x v="0"/>
    <n v="13"/>
    <n v="3"/>
    <n v="3"/>
    <n v="80"/>
    <n v="0"/>
    <n v="30"/>
    <n v="2"/>
    <n v="3"/>
    <x v="8"/>
    <m/>
    <n v="4"/>
    <n v="1"/>
    <n v="2"/>
  </r>
  <r>
    <n v="24"/>
    <x v="1"/>
    <x v="0"/>
    <n v="1371"/>
    <x v="0"/>
    <n v="10"/>
    <n v="4"/>
    <x v="3"/>
    <n v="1"/>
    <n v="507"/>
    <n v="4"/>
    <x v="0"/>
    <n v="77"/>
    <n v="3"/>
    <n v="2"/>
    <x v="0"/>
    <n v="3"/>
    <x v="2"/>
    <n v="4260"/>
    <n v="5915"/>
    <n v="1"/>
    <s v="Y"/>
    <x v="0"/>
    <n v="12"/>
    <n v="3"/>
    <n v="4"/>
    <n v="80"/>
    <n v="1"/>
    <n v="5"/>
    <n v="2"/>
    <n v="4"/>
    <x v="8"/>
    <m/>
    <n v="2"/>
    <n v="0"/>
    <n v="3"/>
  </r>
  <r>
    <n v="30"/>
    <x v="1"/>
    <x v="0"/>
    <n v="202"/>
    <x v="0"/>
    <n v="2"/>
    <n v="1"/>
    <x v="4"/>
    <n v="1"/>
    <n v="508"/>
    <n v="3"/>
    <x v="1"/>
    <n v="72"/>
    <n v="3"/>
    <n v="1"/>
    <x v="6"/>
    <n v="2"/>
    <x v="1"/>
    <n v="2476"/>
    <n v="17434"/>
    <n v="1"/>
    <s v="Y"/>
    <x v="1"/>
    <n v="18"/>
    <n v="3"/>
    <n v="1"/>
    <n v="80"/>
    <n v="1"/>
    <n v="1"/>
    <n v="3"/>
    <n v="3"/>
    <x v="6"/>
    <m/>
    <n v="0"/>
    <n v="0"/>
    <n v="0"/>
  </r>
  <r>
    <n v="26"/>
    <x v="0"/>
    <x v="1"/>
    <n v="575"/>
    <x v="1"/>
    <n v="3"/>
    <n v="1"/>
    <x v="4"/>
    <n v="1"/>
    <n v="510"/>
    <n v="3"/>
    <x v="1"/>
    <n v="73"/>
    <n v="3"/>
    <n v="1"/>
    <x v="1"/>
    <n v="1"/>
    <x v="0"/>
    <n v="3102"/>
    <n v="6582"/>
    <n v="0"/>
    <s v="Y"/>
    <x v="1"/>
    <n v="22"/>
    <n v="4"/>
    <n v="3"/>
    <n v="80"/>
    <n v="0"/>
    <n v="7"/>
    <n v="2"/>
    <n v="3"/>
    <x v="0"/>
    <m/>
    <n v="4"/>
    <n v="0"/>
    <n v="4"/>
  </r>
  <r>
    <n v="22"/>
    <x v="1"/>
    <x v="0"/>
    <n v="253"/>
    <x v="1"/>
    <n v="11"/>
    <n v="3"/>
    <x v="2"/>
    <n v="1"/>
    <n v="511"/>
    <n v="1"/>
    <x v="0"/>
    <n v="43"/>
    <n v="3"/>
    <n v="1"/>
    <x v="1"/>
    <n v="2"/>
    <x v="1"/>
    <n v="2244"/>
    <n v="24440"/>
    <n v="1"/>
    <s v="Y"/>
    <x v="1"/>
    <n v="13"/>
    <n v="3"/>
    <n v="4"/>
    <n v="80"/>
    <n v="1"/>
    <n v="2"/>
    <n v="1"/>
    <n v="3"/>
    <x v="4"/>
    <m/>
    <n v="1"/>
    <n v="1"/>
    <n v="2"/>
  </r>
  <r>
    <n v="36"/>
    <x v="1"/>
    <x v="0"/>
    <n v="164"/>
    <x v="0"/>
    <n v="2"/>
    <n v="2"/>
    <x v="2"/>
    <n v="1"/>
    <n v="513"/>
    <n v="2"/>
    <x v="1"/>
    <n v="61"/>
    <n v="2"/>
    <n v="3"/>
    <x v="0"/>
    <n v="3"/>
    <x v="1"/>
    <n v="7596"/>
    <n v="3809"/>
    <n v="1"/>
    <s v="Y"/>
    <x v="1"/>
    <n v="13"/>
    <n v="3"/>
    <n v="2"/>
    <n v="80"/>
    <n v="2"/>
    <n v="10"/>
    <n v="2"/>
    <n v="3"/>
    <x v="1"/>
    <m/>
    <n v="9"/>
    <n v="9"/>
    <n v="0"/>
  </r>
  <r>
    <n v="30"/>
    <x v="0"/>
    <x v="1"/>
    <n v="464"/>
    <x v="1"/>
    <n v="4"/>
    <n v="3"/>
    <x v="4"/>
    <n v="1"/>
    <n v="514"/>
    <n v="3"/>
    <x v="1"/>
    <n v="40"/>
    <n v="3"/>
    <n v="1"/>
    <x v="1"/>
    <n v="4"/>
    <x v="0"/>
    <n v="2285"/>
    <n v="3427"/>
    <n v="9"/>
    <s v="Y"/>
    <x v="0"/>
    <n v="23"/>
    <n v="4"/>
    <n v="3"/>
    <n v="80"/>
    <n v="0"/>
    <n v="3"/>
    <n v="4"/>
    <n v="3"/>
    <x v="6"/>
    <m/>
    <n v="0"/>
    <n v="0"/>
    <n v="0"/>
  </r>
  <r>
    <n v="37"/>
    <x v="1"/>
    <x v="0"/>
    <n v="1107"/>
    <x v="1"/>
    <n v="14"/>
    <n v="3"/>
    <x v="0"/>
    <n v="1"/>
    <n v="515"/>
    <n v="4"/>
    <x v="0"/>
    <n v="95"/>
    <n v="3"/>
    <n v="1"/>
    <x v="2"/>
    <n v="1"/>
    <x v="2"/>
    <n v="3034"/>
    <n v="26914"/>
    <n v="1"/>
    <s v="Y"/>
    <x v="1"/>
    <n v="12"/>
    <n v="3"/>
    <n v="3"/>
    <n v="80"/>
    <n v="1"/>
    <n v="18"/>
    <n v="2"/>
    <n v="2"/>
    <x v="29"/>
    <m/>
    <n v="7"/>
    <n v="12"/>
    <n v="17"/>
  </r>
  <r>
    <n v="40"/>
    <x v="1"/>
    <x v="0"/>
    <n v="759"/>
    <x v="0"/>
    <n v="2"/>
    <n v="2"/>
    <x v="3"/>
    <n v="1"/>
    <n v="516"/>
    <n v="4"/>
    <x v="0"/>
    <n v="46"/>
    <n v="3"/>
    <n v="2"/>
    <x v="0"/>
    <n v="2"/>
    <x v="2"/>
    <n v="5715"/>
    <n v="22553"/>
    <n v="7"/>
    <s v="Y"/>
    <x v="1"/>
    <n v="12"/>
    <n v="3"/>
    <n v="3"/>
    <n v="80"/>
    <n v="2"/>
    <n v="8"/>
    <n v="5"/>
    <n v="3"/>
    <x v="8"/>
    <m/>
    <n v="4"/>
    <n v="1"/>
    <n v="3"/>
  </r>
  <r>
    <n v="42"/>
    <x v="1"/>
    <x v="0"/>
    <n v="201"/>
    <x v="1"/>
    <n v="1"/>
    <n v="4"/>
    <x v="0"/>
    <n v="1"/>
    <n v="517"/>
    <n v="2"/>
    <x v="0"/>
    <n v="95"/>
    <n v="3"/>
    <n v="1"/>
    <x v="2"/>
    <n v="1"/>
    <x v="2"/>
    <n v="2576"/>
    <n v="20490"/>
    <n v="3"/>
    <s v="Y"/>
    <x v="1"/>
    <n v="16"/>
    <n v="3"/>
    <n v="2"/>
    <n v="80"/>
    <n v="1"/>
    <n v="8"/>
    <n v="5"/>
    <n v="3"/>
    <x v="8"/>
    <m/>
    <n v="2"/>
    <n v="1"/>
    <n v="2"/>
  </r>
  <r>
    <n v="37"/>
    <x v="1"/>
    <x v="0"/>
    <n v="1305"/>
    <x v="1"/>
    <n v="10"/>
    <n v="4"/>
    <x v="0"/>
    <n v="1"/>
    <n v="518"/>
    <n v="3"/>
    <x v="1"/>
    <n v="49"/>
    <n v="3"/>
    <n v="2"/>
    <x v="3"/>
    <n v="2"/>
    <x v="0"/>
    <n v="4197"/>
    <n v="21123"/>
    <n v="2"/>
    <s v="Y"/>
    <x v="0"/>
    <n v="12"/>
    <n v="3"/>
    <n v="4"/>
    <n v="80"/>
    <n v="0"/>
    <n v="18"/>
    <n v="2"/>
    <n v="2"/>
    <x v="6"/>
    <m/>
    <n v="0"/>
    <n v="0"/>
    <n v="1"/>
  </r>
  <r>
    <n v="43"/>
    <x v="1"/>
    <x v="0"/>
    <n v="982"/>
    <x v="1"/>
    <n v="12"/>
    <n v="3"/>
    <x v="0"/>
    <n v="1"/>
    <n v="520"/>
    <n v="1"/>
    <x v="1"/>
    <n v="59"/>
    <n v="2"/>
    <n v="4"/>
    <x v="7"/>
    <n v="2"/>
    <x v="2"/>
    <n v="14336"/>
    <n v="4345"/>
    <n v="1"/>
    <s v="Y"/>
    <x v="1"/>
    <n v="11"/>
    <n v="3"/>
    <n v="3"/>
    <n v="80"/>
    <n v="1"/>
    <n v="25"/>
    <n v="3"/>
    <n v="3"/>
    <x v="10"/>
    <m/>
    <n v="10"/>
    <n v="3"/>
    <n v="9"/>
  </r>
  <r>
    <n v="40"/>
    <x v="1"/>
    <x v="0"/>
    <n v="555"/>
    <x v="1"/>
    <n v="2"/>
    <n v="3"/>
    <x v="2"/>
    <n v="1"/>
    <n v="521"/>
    <n v="2"/>
    <x v="0"/>
    <n v="78"/>
    <n v="2"/>
    <n v="2"/>
    <x v="2"/>
    <n v="3"/>
    <x v="1"/>
    <n v="3448"/>
    <n v="13436"/>
    <n v="6"/>
    <s v="Y"/>
    <x v="1"/>
    <n v="22"/>
    <n v="4"/>
    <n v="2"/>
    <n v="80"/>
    <n v="1"/>
    <n v="20"/>
    <n v="3"/>
    <n v="3"/>
    <x v="6"/>
    <m/>
    <n v="0"/>
    <n v="0"/>
    <n v="0"/>
  </r>
  <r>
    <n v="54"/>
    <x v="1"/>
    <x v="0"/>
    <n v="821"/>
    <x v="1"/>
    <n v="5"/>
    <n v="2"/>
    <x v="2"/>
    <n v="1"/>
    <n v="522"/>
    <n v="1"/>
    <x v="1"/>
    <n v="86"/>
    <n v="3"/>
    <n v="5"/>
    <x v="7"/>
    <n v="1"/>
    <x v="1"/>
    <n v="19406"/>
    <n v="8509"/>
    <n v="4"/>
    <s v="Y"/>
    <x v="1"/>
    <n v="11"/>
    <n v="3"/>
    <n v="3"/>
    <n v="80"/>
    <n v="1"/>
    <n v="24"/>
    <n v="4"/>
    <n v="2"/>
    <x v="9"/>
    <m/>
    <n v="2"/>
    <n v="1"/>
    <n v="2"/>
  </r>
  <r>
    <n v="34"/>
    <x v="1"/>
    <x v="2"/>
    <n v="1381"/>
    <x v="0"/>
    <n v="4"/>
    <n v="4"/>
    <x v="3"/>
    <n v="1"/>
    <n v="523"/>
    <n v="3"/>
    <x v="0"/>
    <n v="72"/>
    <n v="3"/>
    <n v="2"/>
    <x v="0"/>
    <n v="3"/>
    <x v="1"/>
    <n v="6538"/>
    <n v="12740"/>
    <n v="9"/>
    <s v="Y"/>
    <x v="1"/>
    <n v="15"/>
    <n v="3"/>
    <n v="1"/>
    <n v="80"/>
    <n v="1"/>
    <n v="6"/>
    <n v="3"/>
    <n v="3"/>
    <x v="11"/>
    <m/>
    <n v="2"/>
    <n v="1"/>
    <n v="2"/>
  </r>
  <r>
    <n v="31"/>
    <x v="1"/>
    <x v="0"/>
    <n v="480"/>
    <x v="1"/>
    <n v="7"/>
    <n v="2"/>
    <x v="2"/>
    <n v="1"/>
    <n v="524"/>
    <n v="2"/>
    <x v="0"/>
    <n v="31"/>
    <n v="3"/>
    <n v="2"/>
    <x v="3"/>
    <n v="1"/>
    <x v="1"/>
    <n v="4306"/>
    <n v="4156"/>
    <n v="1"/>
    <s v="Y"/>
    <x v="1"/>
    <n v="12"/>
    <n v="3"/>
    <n v="2"/>
    <n v="80"/>
    <n v="1"/>
    <n v="13"/>
    <n v="5"/>
    <n v="1"/>
    <x v="20"/>
    <m/>
    <n v="10"/>
    <n v="3"/>
    <n v="12"/>
  </r>
  <r>
    <n v="43"/>
    <x v="1"/>
    <x v="1"/>
    <n v="313"/>
    <x v="1"/>
    <n v="21"/>
    <n v="3"/>
    <x v="2"/>
    <n v="1"/>
    <n v="525"/>
    <n v="4"/>
    <x v="1"/>
    <n v="61"/>
    <n v="3"/>
    <n v="1"/>
    <x v="2"/>
    <n v="4"/>
    <x v="1"/>
    <n v="2258"/>
    <n v="15238"/>
    <n v="7"/>
    <s v="Y"/>
    <x v="1"/>
    <n v="20"/>
    <n v="4"/>
    <n v="1"/>
    <n v="80"/>
    <n v="1"/>
    <n v="8"/>
    <n v="1"/>
    <n v="3"/>
    <x v="11"/>
    <m/>
    <n v="2"/>
    <n v="1"/>
    <n v="2"/>
  </r>
  <r>
    <n v="43"/>
    <x v="1"/>
    <x v="0"/>
    <n v="1473"/>
    <x v="1"/>
    <n v="8"/>
    <n v="4"/>
    <x v="1"/>
    <n v="1"/>
    <n v="526"/>
    <n v="3"/>
    <x v="0"/>
    <n v="74"/>
    <n v="3"/>
    <n v="2"/>
    <x v="4"/>
    <n v="3"/>
    <x v="2"/>
    <n v="4522"/>
    <n v="2227"/>
    <n v="4"/>
    <s v="Y"/>
    <x v="0"/>
    <n v="14"/>
    <n v="3"/>
    <n v="4"/>
    <n v="80"/>
    <n v="0"/>
    <n v="8"/>
    <n v="3"/>
    <n v="3"/>
    <x v="8"/>
    <m/>
    <n v="2"/>
    <n v="0"/>
    <n v="2"/>
  </r>
  <r>
    <n v="25"/>
    <x v="1"/>
    <x v="0"/>
    <n v="891"/>
    <x v="0"/>
    <n v="4"/>
    <n v="2"/>
    <x v="0"/>
    <n v="1"/>
    <n v="527"/>
    <n v="2"/>
    <x v="0"/>
    <n v="99"/>
    <n v="2"/>
    <n v="2"/>
    <x v="0"/>
    <n v="4"/>
    <x v="0"/>
    <n v="4487"/>
    <n v="12090"/>
    <n v="1"/>
    <s v="Y"/>
    <x v="0"/>
    <n v="11"/>
    <n v="3"/>
    <n v="2"/>
    <n v="80"/>
    <n v="0"/>
    <n v="5"/>
    <n v="3"/>
    <n v="3"/>
    <x v="8"/>
    <m/>
    <n v="4"/>
    <n v="1"/>
    <n v="3"/>
  </r>
  <r>
    <n v="37"/>
    <x v="1"/>
    <x v="2"/>
    <n v="1063"/>
    <x v="1"/>
    <n v="25"/>
    <n v="5"/>
    <x v="2"/>
    <n v="1"/>
    <n v="529"/>
    <n v="2"/>
    <x v="0"/>
    <n v="72"/>
    <n v="3"/>
    <n v="2"/>
    <x v="1"/>
    <n v="3"/>
    <x v="1"/>
    <n v="4449"/>
    <n v="23866"/>
    <n v="3"/>
    <s v="Y"/>
    <x v="0"/>
    <n v="15"/>
    <n v="3"/>
    <n v="1"/>
    <n v="80"/>
    <n v="2"/>
    <n v="15"/>
    <n v="2"/>
    <n v="3"/>
    <x v="20"/>
    <m/>
    <n v="11"/>
    <n v="10"/>
    <n v="7"/>
  </r>
  <r>
    <n v="31"/>
    <x v="1"/>
    <x v="0"/>
    <n v="329"/>
    <x v="1"/>
    <n v="1"/>
    <n v="2"/>
    <x v="0"/>
    <n v="1"/>
    <n v="530"/>
    <n v="4"/>
    <x v="1"/>
    <n v="98"/>
    <n v="2"/>
    <n v="1"/>
    <x v="2"/>
    <n v="1"/>
    <x v="1"/>
    <n v="2218"/>
    <n v="16193"/>
    <n v="1"/>
    <s v="Y"/>
    <x v="1"/>
    <n v="12"/>
    <n v="3"/>
    <n v="3"/>
    <n v="80"/>
    <n v="1"/>
    <n v="4"/>
    <n v="3"/>
    <n v="3"/>
    <x v="9"/>
    <m/>
    <n v="2"/>
    <n v="3"/>
    <n v="2"/>
  </r>
  <r>
    <n v="39"/>
    <x v="1"/>
    <x v="1"/>
    <n v="1218"/>
    <x v="1"/>
    <n v="1"/>
    <n v="1"/>
    <x v="0"/>
    <n v="1"/>
    <n v="531"/>
    <n v="2"/>
    <x v="1"/>
    <n v="52"/>
    <n v="3"/>
    <n v="5"/>
    <x v="5"/>
    <n v="3"/>
    <x v="2"/>
    <n v="19197"/>
    <n v="8213"/>
    <n v="1"/>
    <s v="Y"/>
    <x v="0"/>
    <n v="14"/>
    <n v="3"/>
    <n v="3"/>
    <n v="80"/>
    <n v="1"/>
    <n v="21"/>
    <n v="3"/>
    <n v="3"/>
    <x v="17"/>
    <m/>
    <n v="8"/>
    <n v="1"/>
    <n v="6"/>
  </r>
  <r>
    <n v="56"/>
    <x v="1"/>
    <x v="1"/>
    <n v="906"/>
    <x v="0"/>
    <n v="6"/>
    <n v="3"/>
    <x v="0"/>
    <n v="1"/>
    <n v="532"/>
    <n v="3"/>
    <x v="0"/>
    <n v="86"/>
    <n v="4"/>
    <n v="4"/>
    <x v="0"/>
    <n v="1"/>
    <x v="1"/>
    <n v="13212"/>
    <n v="18256"/>
    <n v="9"/>
    <s v="Y"/>
    <x v="1"/>
    <n v="11"/>
    <n v="3"/>
    <n v="4"/>
    <n v="80"/>
    <n v="3"/>
    <n v="36"/>
    <n v="0"/>
    <n v="2"/>
    <x v="5"/>
    <m/>
    <n v="7"/>
    <n v="7"/>
    <n v="7"/>
  </r>
  <r>
    <n v="30"/>
    <x v="1"/>
    <x v="0"/>
    <n v="1082"/>
    <x v="0"/>
    <n v="12"/>
    <n v="3"/>
    <x v="4"/>
    <n v="1"/>
    <n v="533"/>
    <n v="2"/>
    <x v="0"/>
    <n v="83"/>
    <n v="3"/>
    <n v="2"/>
    <x v="0"/>
    <n v="3"/>
    <x v="0"/>
    <n v="6577"/>
    <n v="19558"/>
    <n v="0"/>
    <s v="Y"/>
    <x v="1"/>
    <n v="11"/>
    <n v="3"/>
    <n v="2"/>
    <n v="80"/>
    <n v="0"/>
    <n v="6"/>
    <n v="6"/>
    <n v="3"/>
    <x v="8"/>
    <m/>
    <n v="4"/>
    <n v="4"/>
    <n v="4"/>
  </r>
  <r>
    <n v="41"/>
    <x v="1"/>
    <x v="0"/>
    <n v="645"/>
    <x v="0"/>
    <n v="1"/>
    <n v="3"/>
    <x v="3"/>
    <n v="1"/>
    <n v="534"/>
    <n v="2"/>
    <x v="1"/>
    <n v="49"/>
    <n v="4"/>
    <n v="3"/>
    <x v="0"/>
    <n v="1"/>
    <x v="1"/>
    <n v="8392"/>
    <n v="19566"/>
    <n v="1"/>
    <s v="Y"/>
    <x v="1"/>
    <n v="16"/>
    <n v="3"/>
    <n v="3"/>
    <n v="80"/>
    <n v="1"/>
    <n v="10"/>
    <n v="2"/>
    <n v="3"/>
    <x v="1"/>
    <m/>
    <n v="7"/>
    <n v="0"/>
    <n v="7"/>
  </r>
  <r>
    <n v="28"/>
    <x v="1"/>
    <x v="0"/>
    <n v="1300"/>
    <x v="1"/>
    <n v="17"/>
    <n v="2"/>
    <x v="2"/>
    <n v="1"/>
    <n v="536"/>
    <n v="3"/>
    <x v="1"/>
    <n v="79"/>
    <n v="3"/>
    <n v="2"/>
    <x v="2"/>
    <n v="1"/>
    <x v="2"/>
    <n v="4558"/>
    <n v="13535"/>
    <n v="1"/>
    <s v="Y"/>
    <x v="1"/>
    <n v="12"/>
    <n v="3"/>
    <n v="4"/>
    <n v="80"/>
    <n v="1"/>
    <n v="10"/>
    <n v="2"/>
    <n v="3"/>
    <x v="1"/>
    <m/>
    <n v="0"/>
    <n v="1"/>
    <n v="8"/>
  </r>
  <r>
    <n v="25"/>
    <x v="0"/>
    <x v="0"/>
    <n v="688"/>
    <x v="1"/>
    <n v="3"/>
    <n v="3"/>
    <x v="2"/>
    <n v="1"/>
    <n v="538"/>
    <n v="1"/>
    <x v="1"/>
    <n v="91"/>
    <n v="3"/>
    <n v="1"/>
    <x v="2"/>
    <n v="1"/>
    <x v="1"/>
    <n v="4031"/>
    <n v="9396"/>
    <n v="5"/>
    <s v="Y"/>
    <x v="1"/>
    <n v="13"/>
    <n v="3"/>
    <n v="3"/>
    <n v="80"/>
    <n v="1"/>
    <n v="6"/>
    <n v="5"/>
    <n v="3"/>
    <x v="4"/>
    <m/>
    <n v="2"/>
    <n v="0"/>
    <n v="2"/>
  </r>
  <r>
    <n v="52"/>
    <x v="1"/>
    <x v="0"/>
    <n v="319"/>
    <x v="1"/>
    <n v="3"/>
    <n v="3"/>
    <x v="2"/>
    <n v="1"/>
    <n v="543"/>
    <n v="4"/>
    <x v="1"/>
    <n v="39"/>
    <n v="2"/>
    <n v="3"/>
    <x v="3"/>
    <n v="3"/>
    <x v="1"/>
    <n v="7969"/>
    <n v="19609"/>
    <n v="2"/>
    <s v="Y"/>
    <x v="0"/>
    <n v="14"/>
    <n v="3"/>
    <n v="3"/>
    <n v="80"/>
    <n v="0"/>
    <n v="28"/>
    <n v="4"/>
    <n v="3"/>
    <x v="8"/>
    <m/>
    <n v="4"/>
    <n v="0"/>
    <n v="4"/>
  </r>
  <r>
    <n v="45"/>
    <x v="1"/>
    <x v="0"/>
    <n v="192"/>
    <x v="1"/>
    <n v="10"/>
    <n v="2"/>
    <x v="0"/>
    <n v="1"/>
    <n v="544"/>
    <n v="1"/>
    <x v="1"/>
    <n v="69"/>
    <n v="3"/>
    <n v="1"/>
    <x v="1"/>
    <n v="4"/>
    <x v="1"/>
    <n v="2654"/>
    <n v="9655"/>
    <n v="3"/>
    <s v="Y"/>
    <x v="1"/>
    <n v="21"/>
    <n v="4"/>
    <n v="4"/>
    <n v="80"/>
    <n v="2"/>
    <n v="8"/>
    <n v="3"/>
    <n v="2"/>
    <x v="4"/>
    <m/>
    <n v="2"/>
    <n v="0"/>
    <n v="2"/>
  </r>
  <r>
    <n v="52"/>
    <x v="1"/>
    <x v="0"/>
    <n v="1490"/>
    <x v="1"/>
    <n v="4"/>
    <n v="2"/>
    <x v="0"/>
    <n v="1"/>
    <n v="546"/>
    <n v="4"/>
    <x v="0"/>
    <n v="30"/>
    <n v="3"/>
    <n v="4"/>
    <x v="5"/>
    <n v="4"/>
    <x v="1"/>
    <n v="16555"/>
    <n v="10310"/>
    <n v="2"/>
    <s v="Y"/>
    <x v="1"/>
    <n v="13"/>
    <n v="3"/>
    <n v="4"/>
    <n v="80"/>
    <n v="0"/>
    <n v="31"/>
    <n v="2"/>
    <n v="1"/>
    <x v="8"/>
    <m/>
    <n v="2"/>
    <n v="1"/>
    <n v="4"/>
  </r>
  <r>
    <n v="42"/>
    <x v="1"/>
    <x v="1"/>
    <n v="532"/>
    <x v="1"/>
    <n v="29"/>
    <n v="2"/>
    <x v="0"/>
    <n v="1"/>
    <n v="547"/>
    <n v="1"/>
    <x v="0"/>
    <n v="92"/>
    <n v="3"/>
    <n v="2"/>
    <x v="1"/>
    <n v="3"/>
    <x v="2"/>
    <n v="4556"/>
    <n v="12932"/>
    <n v="2"/>
    <s v="Y"/>
    <x v="1"/>
    <n v="11"/>
    <n v="3"/>
    <n v="2"/>
    <n v="80"/>
    <n v="1"/>
    <n v="19"/>
    <n v="3"/>
    <n v="3"/>
    <x v="8"/>
    <m/>
    <n v="4"/>
    <n v="0"/>
    <n v="2"/>
  </r>
  <r>
    <n v="30"/>
    <x v="1"/>
    <x v="0"/>
    <n v="317"/>
    <x v="1"/>
    <n v="2"/>
    <n v="3"/>
    <x v="0"/>
    <n v="1"/>
    <n v="548"/>
    <n v="3"/>
    <x v="0"/>
    <n v="43"/>
    <n v="1"/>
    <n v="2"/>
    <x v="3"/>
    <n v="4"/>
    <x v="0"/>
    <n v="6091"/>
    <n v="24793"/>
    <n v="2"/>
    <s v="Y"/>
    <x v="1"/>
    <n v="20"/>
    <n v="4"/>
    <n v="3"/>
    <n v="80"/>
    <n v="0"/>
    <n v="11"/>
    <n v="2"/>
    <n v="3"/>
    <x v="8"/>
    <m/>
    <n v="4"/>
    <n v="0"/>
    <n v="2"/>
  </r>
  <r>
    <n v="60"/>
    <x v="1"/>
    <x v="0"/>
    <n v="422"/>
    <x v="1"/>
    <n v="7"/>
    <n v="3"/>
    <x v="0"/>
    <n v="1"/>
    <n v="549"/>
    <n v="1"/>
    <x v="0"/>
    <n v="41"/>
    <n v="3"/>
    <n v="5"/>
    <x v="5"/>
    <n v="1"/>
    <x v="1"/>
    <n v="19566"/>
    <n v="3854"/>
    <n v="5"/>
    <s v="Y"/>
    <x v="1"/>
    <n v="11"/>
    <n v="3"/>
    <n v="4"/>
    <n v="80"/>
    <n v="0"/>
    <n v="33"/>
    <n v="5"/>
    <n v="1"/>
    <x v="30"/>
    <m/>
    <n v="8"/>
    <n v="11"/>
    <n v="10"/>
  </r>
  <r>
    <n v="46"/>
    <x v="1"/>
    <x v="0"/>
    <n v="1485"/>
    <x v="1"/>
    <n v="18"/>
    <n v="3"/>
    <x v="2"/>
    <n v="1"/>
    <n v="550"/>
    <n v="3"/>
    <x v="0"/>
    <n v="87"/>
    <n v="3"/>
    <n v="2"/>
    <x v="3"/>
    <n v="3"/>
    <x v="2"/>
    <n v="4810"/>
    <n v="26314"/>
    <n v="2"/>
    <s v="Y"/>
    <x v="1"/>
    <n v="14"/>
    <n v="3"/>
    <n v="3"/>
    <n v="80"/>
    <n v="1"/>
    <n v="19"/>
    <n v="5"/>
    <n v="2"/>
    <x v="1"/>
    <m/>
    <n v="7"/>
    <n v="0"/>
    <n v="8"/>
  </r>
  <r>
    <n v="42"/>
    <x v="1"/>
    <x v="1"/>
    <n v="1368"/>
    <x v="1"/>
    <n v="28"/>
    <n v="4"/>
    <x v="4"/>
    <n v="1"/>
    <n v="551"/>
    <n v="4"/>
    <x v="0"/>
    <n v="88"/>
    <n v="2"/>
    <n v="2"/>
    <x v="4"/>
    <n v="4"/>
    <x v="1"/>
    <n v="4523"/>
    <n v="4386"/>
    <n v="0"/>
    <s v="Y"/>
    <x v="1"/>
    <n v="11"/>
    <n v="3"/>
    <n v="4"/>
    <n v="80"/>
    <n v="3"/>
    <n v="7"/>
    <n v="4"/>
    <n v="4"/>
    <x v="0"/>
    <m/>
    <n v="5"/>
    <n v="0"/>
    <n v="4"/>
  </r>
  <r>
    <n v="24"/>
    <x v="0"/>
    <x v="0"/>
    <n v="1448"/>
    <x v="0"/>
    <n v="1"/>
    <n v="1"/>
    <x v="4"/>
    <n v="1"/>
    <n v="554"/>
    <n v="1"/>
    <x v="0"/>
    <n v="62"/>
    <n v="3"/>
    <n v="1"/>
    <x v="6"/>
    <n v="2"/>
    <x v="0"/>
    <n v="3202"/>
    <n v="21972"/>
    <n v="1"/>
    <s v="Y"/>
    <x v="0"/>
    <n v="16"/>
    <n v="3"/>
    <n v="2"/>
    <n v="80"/>
    <n v="0"/>
    <n v="6"/>
    <n v="4"/>
    <n v="3"/>
    <x v="8"/>
    <m/>
    <n v="3"/>
    <n v="1"/>
    <n v="4"/>
  </r>
  <r>
    <n v="34"/>
    <x v="0"/>
    <x v="1"/>
    <n v="296"/>
    <x v="0"/>
    <n v="6"/>
    <n v="2"/>
    <x v="3"/>
    <n v="1"/>
    <n v="555"/>
    <n v="4"/>
    <x v="0"/>
    <n v="33"/>
    <n v="1"/>
    <n v="1"/>
    <x v="6"/>
    <n v="3"/>
    <x v="2"/>
    <n v="2351"/>
    <n v="12253"/>
    <n v="0"/>
    <s v="Y"/>
    <x v="1"/>
    <n v="16"/>
    <n v="3"/>
    <n v="4"/>
    <n v="80"/>
    <n v="1"/>
    <n v="3"/>
    <n v="3"/>
    <n v="2"/>
    <x v="4"/>
    <m/>
    <n v="2"/>
    <n v="1"/>
    <n v="0"/>
  </r>
  <r>
    <n v="38"/>
    <x v="1"/>
    <x v="1"/>
    <n v="1490"/>
    <x v="1"/>
    <n v="2"/>
    <n v="2"/>
    <x v="0"/>
    <n v="1"/>
    <n v="556"/>
    <n v="4"/>
    <x v="1"/>
    <n v="42"/>
    <n v="3"/>
    <n v="1"/>
    <x v="2"/>
    <n v="4"/>
    <x v="1"/>
    <n v="1702"/>
    <n v="12106"/>
    <n v="1"/>
    <s v="Y"/>
    <x v="0"/>
    <n v="23"/>
    <n v="4"/>
    <n v="3"/>
    <n v="80"/>
    <n v="1"/>
    <n v="1"/>
    <n v="3"/>
    <n v="3"/>
    <x v="6"/>
    <m/>
    <n v="0"/>
    <n v="0"/>
    <n v="0"/>
  </r>
  <r>
    <n v="40"/>
    <x v="1"/>
    <x v="0"/>
    <n v="1398"/>
    <x v="0"/>
    <n v="2"/>
    <n v="4"/>
    <x v="0"/>
    <n v="1"/>
    <n v="558"/>
    <n v="3"/>
    <x v="0"/>
    <n v="79"/>
    <n v="3"/>
    <n v="5"/>
    <x v="5"/>
    <n v="3"/>
    <x v="1"/>
    <n v="18041"/>
    <n v="13022"/>
    <n v="0"/>
    <s v="Y"/>
    <x v="1"/>
    <n v="14"/>
    <n v="3"/>
    <n v="4"/>
    <n v="80"/>
    <n v="0"/>
    <n v="21"/>
    <n v="2"/>
    <n v="3"/>
    <x v="23"/>
    <m/>
    <n v="15"/>
    <n v="1"/>
    <n v="12"/>
  </r>
  <r>
    <n v="26"/>
    <x v="1"/>
    <x v="0"/>
    <n v="1349"/>
    <x v="1"/>
    <n v="23"/>
    <n v="3"/>
    <x v="0"/>
    <n v="1"/>
    <n v="560"/>
    <n v="1"/>
    <x v="0"/>
    <n v="90"/>
    <n v="3"/>
    <n v="1"/>
    <x v="1"/>
    <n v="4"/>
    <x v="2"/>
    <n v="2886"/>
    <n v="3032"/>
    <n v="1"/>
    <s v="Y"/>
    <x v="1"/>
    <n v="22"/>
    <n v="4"/>
    <n v="2"/>
    <n v="80"/>
    <n v="2"/>
    <n v="3"/>
    <n v="3"/>
    <n v="1"/>
    <x v="11"/>
    <m/>
    <n v="2"/>
    <n v="0"/>
    <n v="2"/>
  </r>
  <r>
    <n v="30"/>
    <x v="1"/>
    <x v="2"/>
    <n v="1400"/>
    <x v="1"/>
    <n v="3"/>
    <n v="3"/>
    <x v="0"/>
    <n v="1"/>
    <n v="562"/>
    <n v="3"/>
    <x v="1"/>
    <n v="53"/>
    <n v="3"/>
    <n v="1"/>
    <x v="2"/>
    <n v="4"/>
    <x v="1"/>
    <n v="2097"/>
    <n v="16734"/>
    <n v="4"/>
    <s v="Y"/>
    <x v="1"/>
    <n v="15"/>
    <n v="3"/>
    <n v="3"/>
    <n v="80"/>
    <n v="1"/>
    <n v="9"/>
    <n v="3"/>
    <n v="1"/>
    <x v="8"/>
    <m/>
    <n v="3"/>
    <n v="1"/>
    <n v="4"/>
  </r>
  <r>
    <n v="29"/>
    <x v="1"/>
    <x v="0"/>
    <n v="986"/>
    <x v="1"/>
    <n v="3"/>
    <n v="4"/>
    <x v="2"/>
    <n v="1"/>
    <n v="564"/>
    <n v="2"/>
    <x v="1"/>
    <n v="93"/>
    <n v="2"/>
    <n v="3"/>
    <x v="7"/>
    <n v="3"/>
    <x v="1"/>
    <n v="11935"/>
    <n v="21526"/>
    <n v="1"/>
    <s v="Y"/>
    <x v="1"/>
    <n v="18"/>
    <n v="3"/>
    <n v="3"/>
    <n v="80"/>
    <n v="0"/>
    <n v="10"/>
    <n v="2"/>
    <n v="3"/>
    <x v="1"/>
    <m/>
    <n v="2"/>
    <n v="0"/>
    <n v="7"/>
  </r>
  <r>
    <n v="29"/>
    <x v="0"/>
    <x v="0"/>
    <n v="408"/>
    <x v="1"/>
    <n v="25"/>
    <n v="5"/>
    <x v="4"/>
    <n v="1"/>
    <n v="565"/>
    <n v="3"/>
    <x v="0"/>
    <n v="71"/>
    <n v="2"/>
    <n v="1"/>
    <x v="1"/>
    <n v="2"/>
    <x v="1"/>
    <n v="2546"/>
    <n v="18300"/>
    <n v="5"/>
    <s v="Y"/>
    <x v="1"/>
    <n v="16"/>
    <n v="3"/>
    <n v="2"/>
    <n v="80"/>
    <n v="0"/>
    <n v="6"/>
    <n v="2"/>
    <n v="4"/>
    <x v="4"/>
    <m/>
    <n v="2"/>
    <n v="1"/>
    <n v="1"/>
  </r>
  <r>
    <n v="19"/>
    <x v="0"/>
    <x v="0"/>
    <n v="489"/>
    <x v="2"/>
    <n v="2"/>
    <n v="2"/>
    <x v="4"/>
    <n v="1"/>
    <n v="566"/>
    <n v="1"/>
    <x v="1"/>
    <n v="52"/>
    <n v="2"/>
    <n v="1"/>
    <x v="8"/>
    <n v="4"/>
    <x v="0"/>
    <n v="2564"/>
    <n v="18437"/>
    <n v="1"/>
    <s v="Y"/>
    <x v="1"/>
    <n v="12"/>
    <n v="3"/>
    <n v="3"/>
    <n v="80"/>
    <n v="0"/>
    <n v="1"/>
    <n v="3"/>
    <n v="4"/>
    <x v="6"/>
    <m/>
    <n v="0"/>
    <n v="0"/>
    <n v="0"/>
  </r>
  <r>
    <n v="30"/>
    <x v="1"/>
    <x v="2"/>
    <n v="1398"/>
    <x v="0"/>
    <n v="22"/>
    <n v="4"/>
    <x v="1"/>
    <n v="1"/>
    <n v="567"/>
    <n v="3"/>
    <x v="0"/>
    <n v="69"/>
    <n v="3"/>
    <n v="3"/>
    <x v="0"/>
    <n v="1"/>
    <x v="1"/>
    <n v="8412"/>
    <n v="2890"/>
    <n v="0"/>
    <s v="Y"/>
    <x v="1"/>
    <n v="11"/>
    <n v="3"/>
    <n v="3"/>
    <n v="80"/>
    <n v="0"/>
    <n v="10"/>
    <n v="3"/>
    <n v="3"/>
    <x v="7"/>
    <m/>
    <n v="8"/>
    <n v="7"/>
    <n v="8"/>
  </r>
  <r>
    <n v="57"/>
    <x v="1"/>
    <x v="0"/>
    <n v="210"/>
    <x v="0"/>
    <n v="29"/>
    <n v="3"/>
    <x v="3"/>
    <n v="1"/>
    <n v="568"/>
    <n v="1"/>
    <x v="1"/>
    <n v="56"/>
    <n v="2"/>
    <n v="4"/>
    <x v="5"/>
    <n v="4"/>
    <x v="2"/>
    <n v="14118"/>
    <n v="22102"/>
    <n v="3"/>
    <s v="Y"/>
    <x v="1"/>
    <n v="12"/>
    <n v="3"/>
    <n v="3"/>
    <n v="80"/>
    <n v="1"/>
    <n v="32"/>
    <n v="3"/>
    <n v="2"/>
    <x v="6"/>
    <m/>
    <n v="0"/>
    <n v="0"/>
    <n v="0"/>
  </r>
  <r>
    <n v="50"/>
    <x v="1"/>
    <x v="0"/>
    <n v="1099"/>
    <x v="1"/>
    <n v="29"/>
    <n v="4"/>
    <x v="0"/>
    <n v="1"/>
    <n v="569"/>
    <n v="2"/>
    <x v="1"/>
    <n v="88"/>
    <n v="2"/>
    <n v="4"/>
    <x v="5"/>
    <n v="3"/>
    <x v="1"/>
    <n v="17046"/>
    <n v="9314"/>
    <n v="0"/>
    <s v="Y"/>
    <x v="1"/>
    <n v="15"/>
    <n v="3"/>
    <n v="2"/>
    <n v="80"/>
    <n v="1"/>
    <n v="28"/>
    <n v="2"/>
    <n v="3"/>
    <x v="16"/>
    <m/>
    <n v="10"/>
    <n v="15"/>
    <n v="7"/>
  </r>
  <r>
    <n v="30"/>
    <x v="1"/>
    <x v="2"/>
    <n v="1116"/>
    <x v="1"/>
    <n v="2"/>
    <n v="3"/>
    <x v="2"/>
    <n v="1"/>
    <n v="571"/>
    <n v="3"/>
    <x v="0"/>
    <n v="49"/>
    <n v="3"/>
    <n v="1"/>
    <x v="2"/>
    <n v="4"/>
    <x v="0"/>
    <n v="2564"/>
    <n v="7181"/>
    <n v="0"/>
    <s v="Y"/>
    <x v="1"/>
    <n v="14"/>
    <n v="3"/>
    <n v="3"/>
    <n v="80"/>
    <n v="0"/>
    <n v="12"/>
    <n v="2"/>
    <n v="2"/>
    <x v="19"/>
    <m/>
    <n v="7"/>
    <n v="6"/>
    <n v="7"/>
  </r>
  <r>
    <n v="60"/>
    <x v="1"/>
    <x v="1"/>
    <n v="1499"/>
    <x v="0"/>
    <n v="28"/>
    <n v="3"/>
    <x v="3"/>
    <n v="1"/>
    <n v="573"/>
    <n v="3"/>
    <x v="0"/>
    <n v="80"/>
    <n v="2"/>
    <n v="3"/>
    <x v="0"/>
    <n v="1"/>
    <x v="1"/>
    <n v="10266"/>
    <n v="2845"/>
    <n v="4"/>
    <s v="Y"/>
    <x v="1"/>
    <n v="19"/>
    <n v="3"/>
    <n v="4"/>
    <n v="80"/>
    <n v="0"/>
    <n v="22"/>
    <n v="5"/>
    <n v="4"/>
    <x v="29"/>
    <m/>
    <n v="13"/>
    <n v="13"/>
    <n v="11"/>
  </r>
  <r>
    <n v="47"/>
    <x v="1"/>
    <x v="0"/>
    <n v="983"/>
    <x v="1"/>
    <n v="2"/>
    <n v="2"/>
    <x v="2"/>
    <n v="1"/>
    <n v="574"/>
    <n v="1"/>
    <x v="0"/>
    <n v="65"/>
    <n v="3"/>
    <n v="2"/>
    <x v="3"/>
    <n v="4"/>
    <x v="2"/>
    <n v="5070"/>
    <n v="7389"/>
    <n v="5"/>
    <s v="Y"/>
    <x v="1"/>
    <n v="13"/>
    <n v="3"/>
    <n v="3"/>
    <n v="80"/>
    <n v="3"/>
    <n v="20"/>
    <n v="2"/>
    <n v="3"/>
    <x v="8"/>
    <m/>
    <n v="0"/>
    <n v="0"/>
    <n v="4"/>
  </r>
  <r>
    <n v="46"/>
    <x v="1"/>
    <x v="0"/>
    <n v="1009"/>
    <x v="1"/>
    <n v="2"/>
    <n v="3"/>
    <x v="0"/>
    <n v="1"/>
    <n v="575"/>
    <n v="1"/>
    <x v="1"/>
    <n v="51"/>
    <n v="3"/>
    <n v="4"/>
    <x v="7"/>
    <n v="3"/>
    <x v="1"/>
    <n v="17861"/>
    <n v="2288"/>
    <n v="6"/>
    <s v="Y"/>
    <x v="1"/>
    <n v="13"/>
    <n v="3"/>
    <n v="3"/>
    <n v="80"/>
    <n v="0"/>
    <n v="26"/>
    <n v="2"/>
    <n v="1"/>
    <x v="11"/>
    <m/>
    <n v="2"/>
    <n v="0"/>
    <n v="1"/>
  </r>
  <r>
    <n v="35"/>
    <x v="1"/>
    <x v="0"/>
    <n v="144"/>
    <x v="1"/>
    <n v="22"/>
    <n v="3"/>
    <x v="0"/>
    <n v="1"/>
    <n v="577"/>
    <n v="4"/>
    <x v="1"/>
    <n v="46"/>
    <n v="1"/>
    <n v="1"/>
    <x v="2"/>
    <n v="3"/>
    <x v="0"/>
    <n v="4230"/>
    <n v="19225"/>
    <n v="0"/>
    <s v="Y"/>
    <x v="1"/>
    <n v="15"/>
    <n v="3"/>
    <n v="3"/>
    <n v="80"/>
    <n v="0"/>
    <n v="6"/>
    <n v="2"/>
    <n v="3"/>
    <x v="8"/>
    <m/>
    <n v="4"/>
    <n v="4"/>
    <n v="3"/>
  </r>
  <r>
    <n v="54"/>
    <x v="1"/>
    <x v="0"/>
    <n v="548"/>
    <x v="1"/>
    <n v="8"/>
    <n v="4"/>
    <x v="0"/>
    <n v="1"/>
    <n v="578"/>
    <n v="3"/>
    <x v="0"/>
    <n v="42"/>
    <n v="3"/>
    <n v="2"/>
    <x v="2"/>
    <n v="3"/>
    <x v="0"/>
    <n v="3780"/>
    <n v="23428"/>
    <n v="7"/>
    <s v="Y"/>
    <x v="1"/>
    <n v="11"/>
    <n v="3"/>
    <n v="3"/>
    <n v="80"/>
    <n v="0"/>
    <n v="19"/>
    <n v="3"/>
    <n v="3"/>
    <x v="6"/>
    <m/>
    <n v="0"/>
    <n v="0"/>
    <n v="0"/>
  </r>
  <r>
    <n v="34"/>
    <x v="1"/>
    <x v="0"/>
    <n v="1303"/>
    <x v="1"/>
    <n v="2"/>
    <n v="4"/>
    <x v="0"/>
    <n v="1"/>
    <n v="579"/>
    <n v="4"/>
    <x v="1"/>
    <n v="62"/>
    <n v="2"/>
    <n v="1"/>
    <x v="1"/>
    <n v="3"/>
    <x v="2"/>
    <n v="2768"/>
    <n v="8416"/>
    <n v="3"/>
    <s v="Y"/>
    <x v="1"/>
    <n v="12"/>
    <n v="3"/>
    <n v="3"/>
    <n v="80"/>
    <n v="1"/>
    <n v="14"/>
    <n v="3"/>
    <n v="3"/>
    <x v="5"/>
    <m/>
    <n v="3"/>
    <n v="5"/>
    <n v="7"/>
  </r>
  <r>
    <n v="46"/>
    <x v="1"/>
    <x v="0"/>
    <n v="1125"/>
    <x v="0"/>
    <n v="10"/>
    <n v="3"/>
    <x v="3"/>
    <n v="1"/>
    <n v="580"/>
    <n v="3"/>
    <x v="0"/>
    <n v="94"/>
    <n v="2"/>
    <n v="3"/>
    <x v="0"/>
    <n v="4"/>
    <x v="1"/>
    <n v="9071"/>
    <n v="11563"/>
    <n v="2"/>
    <s v="Y"/>
    <x v="0"/>
    <n v="19"/>
    <n v="3"/>
    <n v="3"/>
    <n v="80"/>
    <n v="1"/>
    <n v="15"/>
    <n v="3"/>
    <n v="3"/>
    <x v="11"/>
    <m/>
    <n v="2"/>
    <n v="1"/>
    <n v="2"/>
  </r>
  <r>
    <n v="31"/>
    <x v="1"/>
    <x v="0"/>
    <n v="1274"/>
    <x v="1"/>
    <n v="9"/>
    <n v="1"/>
    <x v="0"/>
    <n v="1"/>
    <n v="581"/>
    <n v="3"/>
    <x v="1"/>
    <n v="33"/>
    <n v="3"/>
    <n v="3"/>
    <x v="3"/>
    <n v="2"/>
    <x v="2"/>
    <n v="10648"/>
    <n v="14394"/>
    <n v="1"/>
    <s v="Y"/>
    <x v="1"/>
    <n v="25"/>
    <n v="4"/>
    <n v="4"/>
    <n v="80"/>
    <n v="1"/>
    <n v="13"/>
    <n v="6"/>
    <n v="4"/>
    <x v="20"/>
    <m/>
    <n v="8"/>
    <n v="0"/>
    <n v="8"/>
  </r>
  <r>
    <n v="33"/>
    <x v="0"/>
    <x v="0"/>
    <n v="1277"/>
    <x v="1"/>
    <n v="15"/>
    <n v="1"/>
    <x v="2"/>
    <n v="1"/>
    <n v="582"/>
    <n v="2"/>
    <x v="1"/>
    <n v="56"/>
    <n v="3"/>
    <n v="3"/>
    <x v="5"/>
    <n v="3"/>
    <x v="1"/>
    <n v="13610"/>
    <n v="24619"/>
    <n v="7"/>
    <s v="Y"/>
    <x v="0"/>
    <n v="12"/>
    <n v="3"/>
    <n v="4"/>
    <n v="80"/>
    <n v="0"/>
    <n v="15"/>
    <n v="2"/>
    <n v="4"/>
    <x v="5"/>
    <m/>
    <n v="6"/>
    <n v="7"/>
    <n v="7"/>
  </r>
  <r>
    <n v="33"/>
    <x v="0"/>
    <x v="0"/>
    <n v="587"/>
    <x v="1"/>
    <n v="10"/>
    <n v="1"/>
    <x v="2"/>
    <n v="1"/>
    <n v="584"/>
    <n v="1"/>
    <x v="1"/>
    <n v="38"/>
    <n v="1"/>
    <n v="1"/>
    <x v="2"/>
    <n v="4"/>
    <x v="2"/>
    <n v="3408"/>
    <n v="6705"/>
    <n v="7"/>
    <s v="Y"/>
    <x v="1"/>
    <n v="13"/>
    <n v="3"/>
    <n v="1"/>
    <n v="80"/>
    <n v="3"/>
    <n v="8"/>
    <n v="2"/>
    <n v="3"/>
    <x v="9"/>
    <m/>
    <n v="3"/>
    <n v="1"/>
    <n v="3"/>
  </r>
  <r>
    <n v="30"/>
    <x v="1"/>
    <x v="0"/>
    <n v="413"/>
    <x v="0"/>
    <n v="7"/>
    <n v="1"/>
    <x v="3"/>
    <n v="1"/>
    <n v="585"/>
    <n v="4"/>
    <x v="1"/>
    <n v="57"/>
    <n v="3"/>
    <n v="1"/>
    <x v="6"/>
    <n v="2"/>
    <x v="0"/>
    <n v="2983"/>
    <n v="18398"/>
    <n v="0"/>
    <s v="Y"/>
    <x v="1"/>
    <n v="14"/>
    <n v="3"/>
    <n v="1"/>
    <n v="80"/>
    <n v="0"/>
    <n v="4"/>
    <n v="3"/>
    <n v="3"/>
    <x v="11"/>
    <m/>
    <n v="2"/>
    <n v="1"/>
    <n v="2"/>
  </r>
  <r>
    <n v="35"/>
    <x v="1"/>
    <x v="0"/>
    <n v="1276"/>
    <x v="1"/>
    <n v="16"/>
    <n v="3"/>
    <x v="0"/>
    <n v="1"/>
    <n v="586"/>
    <n v="4"/>
    <x v="1"/>
    <n v="72"/>
    <n v="3"/>
    <n v="3"/>
    <x v="4"/>
    <n v="3"/>
    <x v="1"/>
    <n v="7632"/>
    <n v="14295"/>
    <n v="4"/>
    <s v="Y"/>
    <x v="0"/>
    <n v="12"/>
    <n v="3"/>
    <n v="3"/>
    <n v="80"/>
    <n v="0"/>
    <n v="10"/>
    <n v="2"/>
    <n v="3"/>
    <x v="3"/>
    <m/>
    <n v="7"/>
    <n v="0"/>
    <n v="0"/>
  </r>
  <r>
    <n v="31"/>
    <x v="0"/>
    <x v="1"/>
    <n v="534"/>
    <x v="1"/>
    <n v="20"/>
    <n v="3"/>
    <x v="0"/>
    <n v="1"/>
    <n v="587"/>
    <n v="1"/>
    <x v="1"/>
    <n v="66"/>
    <n v="3"/>
    <n v="3"/>
    <x v="4"/>
    <n v="3"/>
    <x v="1"/>
    <n v="9824"/>
    <n v="22908"/>
    <n v="3"/>
    <s v="Y"/>
    <x v="1"/>
    <n v="12"/>
    <n v="3"/>
    <n v="1"/>
    <n v="80"/>
    <n v="0"/>
    <n v="12"/>
    <n v="2"/>
    <n v="3"/>
    <x v="6"/>
    <m/>
    <n v="0"/>
    <n v="0"/>
    <n v="0"/>
  </r>
  <r>
    <n v="34"/>
    <x v="0"/>
    <x v="1"/>
    <n v="988"/>
    <x v="2"/>
    <n v="23"/>
    <n v="3"/>
    <x v="5"/>
    <n v="1"/>
    <n v="590"/>
    <n v="2"/>
    <x v="0"/>
    <n v="43"/>
    <n v="3"/>
    <n v="3"/>
    <x v="8"/>
    <n v="1"/>
    <x v="2"/>
    <n v="9950"/>
    <n v="11533"/>
    <n v="9"/>
    <s v="Y"/>
    <x v="0"/>
    <n v="15"/>
    <n v="3"/>
    <n v="3"/>
    <n v="80"/>
    <n v="3"/>
    <n v="11"/>
    <n v="2"/>
    <n v="3"/>
    <x v="11"/>
    <m/>
    <n v="2"/>
    <n v="0"/>
    <n v="2"/>
  </r>
  <r>
    <n v="42"/>
    <x v="1"/>
    <x v="1"/>
    <n v="1474"/>
    <x v="1"/>
    <n v="5"/>
    <n v="2"/>
    <x v="1"/>
    <n v="1"/>
    <n v="591"/>
    <n v="2"/>
    <x v="1"/>
    <n v="97"/>
    <n v="3"/>
    <n v="1"/>
    <x v="2"/>
    <n v="3"/>
    <x v="1"/>
    <n v="2093"/>
    <n v="9260"/>
    <n v="4"/>
    <s v="Y"/>
    <x v="1"/>
    <n v="17"/>
    <n v="3"/>
    <n v="4"/>
    <n v="80"/>
    <n v="1"/>
    <n v="8"/>
    <n v="4"/>
    <n v="3"/>
    <x v="4"/>
    <m/>
    <n v="2"/>
    <n v="2"/>
    <n v="0"/>
  </r>
  <r>
    <n v="36"/>
    <x v="1"/>
    <x v="2"/>
    <n v="635"/>
    <x v="0"/>
    <n v="10"/>
    <n v="4"/>
    <x v="2"/>
    <n v="1"/>
    <n v="592"/>
    <n v="2"/>
    <x v="1"/>
    <n v="32"/>
    <n v="3"/>
    <n v="3"/>
    <x v="0"/>
    <n v="4"/>
    <x v="0"/>
    <n v="9980"/>
    <n v="15318"/>
    <n v="1"/>
    <s v="Y"/>
    <x v="1"/>
    <n v="14"/>
    <n v="3"/>
    <n v="4"/>
    <n v="80"/>
    <n v="0"/>
    <n v="10"/>
    <n v="3"/>
    <n v="2"/>
    <x v="1"/>
    <m/>
    <n v="3"/>
    <n v="9"/>
    <n v="7"/>
  </r>
  <r>
    <n v="22"/>
    <x v="0"/>
    <x v="1"/>
    <n v="1368"/>
    <x v="1"/>
    <n v="4"/>
    <n v="1"/>
    <x v="4"/>
    <n v="1"/>
    <n v="593"/>
    <n v="3"/>
    <x v="1"/>
    <n v="99"/>
    <n v="2"/>
    <n v="1"/>
    <x v="2"/>
    <n v="3"/>
    <x v="0"/>
    <n v="3894"/>
    <n v="9129"/>
    <n v="5"/>
    <s v="Y"/>
    <x v="1"/>
    <n v="16"/>
    <n v="3"/>
    <n v="3"/>
    <n v="80"/>
    <n v="0"/>
    <n v="4"/>
    <n v="3"/>
    <n v="3"/>
    <x v="4"/>
    <m/>
    <n v="2"/>
    <n v="1"/>
    <n v="2"/>
  </r>
  <r>
    <n v="48"/>
    <x v="1"/>
    <x v="0"/>
    <n v="163"/>
    <x v="0"/>
    <n v="2"/>
    <n v="5"/>
    <x v="3"/>
    <n v="1"/>
    <n v="595"/>
    <n v="2"/>
    <x v="0"/>
    <n v="37"/>
    <n v="3"/>
    <n v="2"/>
    <x v="0"/>
    <n v="4"/>
    <x v="1"/>
    <n v="4051"/>
    <n v="19658"/>
    <n v="2"/>
    <s v="Y"/>
    <x v="1"/>
    <n v="14"/>
    <n v="3"/>
    <n v="1"/>
    <n v="80"/>
    <n v="1"/>
    <n v="14"/>
    <n v="2"/>
    <n v="3"/>
    <x v="7"/>
    <m/>
    <n v="7"/>
    <n v="6"/>
    <n v="7"/>
  </r>
  <r>
    <n v="55"/>
    <x v="1"/>
    <x v="0"/>
    <n v="1117"/>
    <x v="0"/>
    <n v="18"/>
    <n v="5"/>
    <x v="0"/>
    <n v="1"/>
    <n v="597"/>
    <n v="1"/>
    <x v="0"/>
    <n v="83"/>
    <n v="3"/>
    <n v="4"/>
    <x v="5"/>
    <n v="2"/>
    <x v="0"/>
    <n v="16835"/>
    <n v="9873"/>
    <n v="3"/>
    <s v="Y"/>
    <x v="1"/>
    <n v="23"/>
    <n v="4"/>
    <n v="4"/>
    <n v="80"/>
    <n v="0"/>
    <n v="37"/>
    <n v="2"/>
    <n v="3"/>
    <x v="1"/>
    <m/>
    <n v="9"/>
    <n v="7"/>
    <n v="7"/>
  </r>
  <r>
    <n v="41"/>
    <x v="1"/>
    <x v="2"/>
    <n v="267"/>
    <x v="0"/>
    <n v="10"/>
    <n v="2"/>
    <x v="0"/>
    <n v="1"/>
    <n v="599"/>
    <n v="4"/>
    <x v="1"/>
    <n v="56"/>
    <n v="3"/>
    <n v="2"/>
    <x v="0"/>
    <n v="4"/>
    <x v="0"/>
    <n v="6230"/>
    <n v="13430"/>
    <n v="7"/>
    <s v="Y"/>
    <x v="1"/>
    <n v="14"/>
    <n v="3"/>
    <n v="4"/>
    <n v="80"/>
    <n v="0"/>
    <n v="16"/>
    <n v="3"/>
    <n v="3"/>
    <x v="13"/>
    <m/>
    <n v="3"/>
    <n v="1"/>
    <n v="10"/>
  </r>
  <r>
    <n v="35"/>
    <x v="1"/>
    <x v="0"/>
    <n v="619"/>
    <x v="0"/>
    <n v="1"/>
    <n v="3"/>
    <x v="3"/>
    <n v="1"/>
    <n v="600"/>
    <n v="2"/>
    <x v="1"/>
    <n v="85"/>
    <n v="3"/>
    <n v="2"/>
    <x v="0"/>
    <n v="3"/>
    <x v="1"/>
    <n v="4717"/>
    <n v="18659"/>
    <n v="9"/>
    <s v="Y"/>
    <x v="1"/>
    <n v="11"/>
    <n v="3"/>
    <n v="3"/>
    <n v="80"/>
    <n v="0"/>
    <n v="15"/>
    <n v="2"/>
    <n v="3"/>
    <x v="19"/>
    <m/>
    <n v="9"/>
    <n v="6"/>
    <n v="9"/>
  </r>
  <r>
    <n v="40"/>
    <x v="1"/>
    <x v="0"/>
    <n v="302"/>
    <x v="1"/>
    <n v="6"/>
    <n v="3"/>
    <x v="0"/>
    <n v="1"/>
    <n v="601"/>
    <n v="2"/>
    <x v="0"/>
    <n v="75"/>
    <n v="3"/>
    <n v="4"/>
    <x v="3"/>
    <n v="3"/>
    <x v="0"/>
    <n v="13237"/>
    <n v="20364"/>
    <n v="7"/>
    <s v="Y"/>
    <x v="1"/>
    <n v="15"/>
    <n v="3"/>
    <n v="3"/>
    <n v="80"/>
    <n v="0"/>
    <n v="22"/>
    <n v="3"/>
    <n v="3"/>
    <x v="23"/>
    <m/>
    <n v="6"/>
    <n v="5"/>
    <n v="13"/>
  </r>
  <r>
    <n v="39"/>
    <x v="1"/>
    <x v="1"/>
    <n v="443"/>
    <x v="1"/>
    <n v="8"/>
    <n v="1"/>
    <x v="0"/>
    <n v="1"/>
    <n v="602"/>
    <n v="3"/>
    <x v="0"/>
    <n v="48"/>
    <n v="3"/>
    <n v="1"/>
    <x v="2"/>
    <n v="3"/>
    <x v="1"/>
    <n v="3755"/>
    <n v="17872"/>
    <n v="1"/>
    <s v="Y"/>
    <x v="1"/>
    <n v="11"/>
    <n v="3"/>
    <n v="1"/>
    <n v="80"/>
    <n v="1"/>
    <n v="8"/>
    <n v="3"/>
    <n v="3"/>
    <x v="3"/>
    <m/>
    <n v="3"/>
    <n v="0"/>
    <n v="7"/>
  </r>
  <r>
    <n v="31"/>
    <x v="1"/>
    <x v="0"/>
    <n v="828"/>
    <x v="0"/>
    <n v="2"/>
    <n v="1"/>
    <x v="0"/>
    <n v="1"/>
    <n v="604"/>
    <n v="2"/>
    <x v="1"/>
    <n v="77"/>
    <n v="3"/>
    <n v="2"/>
    <x v="0"/>
    <n v="4"/>
    <x v="0"/>
    <n v="6582"/>
    <n v="8346"/>
    <n v="4"/>
    <s v="Y"/>
    <x v="0"/>
    <n v="13"/>
    <n v="3"/>
    <n v="3"/>
    <n v="80"/>
    <n v="0"/>
    <n v="10"/>
    <n v="2"/>
    <n v="4"/>
    <x v="0"/>
    <m/>
    <n v="5"/>
    <n v="0"/>
    <n v="5"/>
  </r>
  <r>
    <n v="42"/>
    <x v="1"/>
    <x v="0"/>
    <n v="319"/>
    <x v="1"/>
    <n v="24"/>
    <n v="3"/>
    <x v="2"/>
    <n v="1"/>
    <n v="605"/>
    <n v="4"/>
    <x v="1"/>
    <n v="56"/>
    <n v="3"/>
    <n v="3"/>
    <x v="3"/>
    <n v="1"/>
    <x v="1"/>
    <n v="7406"/>
    <n v="6950"/>
    <n v="1"/>
    <s v="Y"/>
    <x v="0"/>
    <n v="21"/>
    <n v="4"/>
    <n v="4"/>
    <n v="80"/>
    <n v="1"/>
    <n v="10"/>
    <n v="5"/>
    <n v="2"/>
    <x v="1"/>
    <m/>
    <n v="9"/>
    <n v="5"/>
    <n v="8"/>
  </r>
  <r>
    <n v="45"/>
    <x v="1"/>
    <x v="0"/>
    <n v="561"/>
    <x v="0"/>
    <n v="2"/>
    <n v="3"/>
    <x v="1"/>
    <n v="1"/>
    <n v="606"/>
    <n v="4"/>
    <x v="1"/>
    <n v="61"/>
    <n v="3"/>
    <n v="2"/>
    <x v="0"/>
    <n v="2"/>
    <x v="1"/>
    <n v="4805"/>
    <n v="16177"/>
    <n v="0"/>
    <s v="Y"/>
    <x v="1"/>
    <n v="19"/>
    <n v="3"/>
    <n v="2"/>
    <n v="80"/>
    <n v="1"/>
    <n v="9"/>
    <n v="3"/>
    <n v="4"/>
    <x v="3"/>
    <m/>
    <n v="7"/>
    <n v="3"/>
    <n v="7"/>
  </r>
  <r>
    <n v="26"/>
    <x v="0"/>
    <x v="1"/>
    <n v="426"/>
    <x v="2"/>
    <n v="17"/>
    <n v="4"/>
    <x v="0"/>
    <n v="1"/>
    <n v="608"/>
    <n v="2"/>
    <x v="0"/>
    <n v="58"/>
    <n v="3"/>
    <n v="1"/>
    <x v="8"/>
    <n v="3"/>
    <x v="2"/>
    <n v="2741"/>
    <n v="22808"/>
    <n v="0"/>
    <s v="Y"/>
    <x v="0"/>
    <n v="11"/>
    <n v="3"/>
    <n v="2"/>
    <n v="80"/>
    <n v="1"/>
    <n v="8"/>
    <n v="2"/>
    <n v="2"/>
    <x v="5"/>
    <m/>
    <n v="7"/>
    <n v="1"/>
    <n v="0"/>
  </r>
  <r>
    <n v="29"/>
    <x v="1"/>
    <x v="0"/>
    <n v="232"/>
    <x v="1"/>
    <n v="19"/>
    <n v="3"/>
    <x v="4"/>
    <n v="1"/>
    <n v="611"/>
    <n v="4"/>
    <x v="1"/>
    <n v="34"/>
    <n v="3"/>
    <n v="2"/>
    <x v="3"/>
    <n v="4"/>
    <x v="2"/>
    <n v="4262"/>
    <n v="22645"/>
    <n v="4"/>
    <s v="Y"/>
    <x v="1"/>
    <n v="12"/>
    <n v="3"/>
    <n v="2"/>
    <n v="80"/>
    <n v="2"/>
    <n v="8"/>
    <n v="2"/>
    <n v="4"/>
    <x v="11"/>
    <m/>
    <n v="2"/>
    <n v="1"/>
    <n v="2"/>
  </r>
  <r>
    <n v="33"/>
    <x v="1"/>
    <x v="0"/>
    <n v="922"/>
    <x v="1"/>
    <n v="1"/>
    <n v="5"/>
    <x v="2"/>
    <n v="1"/>
    <n v="612"/>
    <n v="1"/>
    <x v="0"/>
    <n v="95"/>
    <n v="4"/>
    <n v="4"/>
    <x v="7"/>
    <n v="3"/>
    <x v="2"/>
    <n v="16184"/>
    <n v="22578"/>
    <n v="4"/>
    <s v="Y"/>
    <x v="1"/>
    <n v="19"/>
    <n v="3"/>
    <n v="3"/>
    <n v="80"/>
    <n v="1"/>
    <n v="10"/>
    <n v="2"/>
    <n v="3"/>
    <x v="0"/>
    <m/>
    <n v="1"/>
    <n v="0"/>
    <n v="5"/>
  </r>
  <r>
    <n v="31"/>
    <x v="1"/>
    <x v="0"/>
    <n v="688"/>
    <x v="0"/>
    <n v="7"/>
    <n v="3"/>
    <x v="0"/>
    <n v="1"/>
    <n v="613"/>
    <n v="3"/>
    <x v="1"/>
    <n v="44"/>
    <n v="2"/>
    <n v="3"/>
    <x v="5"/>
    <n v="4"/>
    <x v="2"/>
    <n v="11557"/>
    <n v="25291"/>
    <n v="9"/>
    <s v="Y"/>
    <x v="1"/>
    <n v="21"/>
    <n v="4"/>
    <n v="3"/>
    <n v="80"/>
    <n v="1"/>
    <n v="10"/>
    <n v="3"/>
    <n v="2"/>
    <x v="8"/>
    <m/>
    <n v="4"/>
    <n v="0"/>
    <n v="1"/>
  </r>
  <r>
    <n v="18"/>
    <x v="0"/>
    <x v="1"/>
    <n v="1306"/>
    <x v="0"/>
    <n v="5"/>
    <n v="3"/>
    <x v="3"/>
    <n v="1"/>
    <n v="614"/>
    <n v="2"/>
    <x v="1"/>
    <n v="69"/>
    <n v="3"/>
    <n v="1"/>
    <x v="6"/>
    <n v="2"/>
    <x v="0"/>
    <n v="1878"/>
    <n v="8059"/>
    <n v="1"/>
    <s v="Y"/>
    <x v="0"/>
    <n v="14"/>
    <n v="3"/>
    <n v="4"/>
    <n v="80"/>
    <n v="0"/>
    <n v="0"/>
    <n v="3"/>
    <n v="3"/>
    <x v="2"/>
    <m/>
    <n v="0"/>
    <n v="0"/>
    <n v="0"/>
  </r>
  <r>
    <n v="40"/>
    <x v="1"/>
    <x v="2"/>
    <n v="1094"/>
    <x v="0"/>
    <n v="28"/>
    <n v="3"/>
    <x v="1"/>
    <n v="1"/>
    <n v="615"/>
    <n v="3"/>
    <x v="1"/>
    <n v="58"/>
    <n v="1"/>
    <n v="3"/>
    <x v="0"/>
    <n v="1"/>
    <x v="2"/>
    <n v="10932"/>
    <n v="11373"/>
    <n v="3"/>
    <s v="Y"/>
    <x v="1"/>
    <n v="15"/>
    <n v="3"/>
    <n v="3"/>
    <n v="80"/>
    <n v="1"/>
    <n v="20"/>
    <n v="2"/>
    <n v="3"/>
    <x v="6"/>
    <m/>
    <n v="0"/>
    <n v="0"/>
    <n v="1"/>
  </r>
  <r>
    <n v="41"/>
    <x v="1"/>
    <x v="2"/>
    <n v="509"/>
    <x v="1"/>
    <n v="2"/>
    <n v="4"/>
    <x v="1"/>
    <n v="1"/>
    <n v="616"/>
    <n v="1"/>
    <x v="0"/>
    <n v="62"/>
    <n v="2"/>
    <n v="2"/>
    <x v="4"/>
    <n v="3"/>
    <x v="0"/>
    <n v="6811"/>
    <n v="2112"/>
    <n v="2"/>
    <s v="Y"/>
    <x v="0"/>
    <n v="17"/>
    <n v="3"/>
    <n v="1"/>
    <n v="80"/>
    <n v="0"/>
    <n v="10"/>
    <n v="3"/>
    <n v="3"/>
    <x v="3"/>
    <m/>
    <n v="7"/>
    <n v="0"/>
    <n v="7"/>
  </r>
  <r>
    <n v="26"/>
    <x v="1"/>
    <x v="0"/>
    <n v="775"/>
    <x v="0"/>
    <n v="29"/>
    <n v="2"/>
    <x v="2"/>
    <n v="1"/>
    <n v="618"/>
    <n v="1"/>
    <x v="1"/>
    <n v="45"/>
    <n v="3"/>
    <n v="2"/>
    <x v="0"/>
    <n v="3"/>
    <x v="2"/>
    <n v="4306"/>
    <n v="4267"/>
    <n v="5"/>
    <s v="Y"/>
    <x v="1"/>
    <n v="12"/>
    <n v="3"/>
    <n v="1"/>
    <n v="80"/>
    <n v="2"/>
    <n v="8"/>
    <n v="5"/>
    <n v="3"/>
    <x v="2"/>
    <m/>
    <n v="0"/>
    <n v="0"/>
    <n v="0"/>
  </r>
  <r>
    <n v="35"/>
    <x v="1"/>
    <x v="0"/>
    <n v="195"/>
    <x v="0"/>
    <n v="1"/>
    <n v="3"/>
    <x v="2"/>
    <n v="1"/>
    <n v="620"/>
    <n v="1"/>
    <x v="0"/>
    <n v="80"/>
    <n v="3"/>
    <n v="2"/>
    <x v="0"/>
    <n v="3"/>
    <x v="0"/>
    <n v="4859"/>
    <n v="6698"/>
    <n v="1"/>
    <s v="Y"/>
    <x v="1"/>
    <n v="16"/>
    <n v="3"/>
    <n v="4"/>
    <n v="80"/>
    <n v="0"/>
    <n v="5"/>
    <n v="3"/>
    <n v="3"/>
    <x v="8"/>
    <m/>
    <n v="4"/>
    <n v="0"/>
    <n v="3"/>
  </r>
  <r>
    <n v="34"/>
    <x v="1"/>
    <x v="0"/>
    <n v="258"/>
    <x v="0"/>
    <n v="21"/>
    <n v="4"/>
    <x v="0"/>
    <n v="1"/>
    <n v="621"/>
    <n v="4"/>
    <x v="1"/>
    <n v="74"/>
    <n v="4"/>
    <n v="2"/>
    <x v="0"/>
    <n v="4"/>
    <x v="0"/>
    <n v="5337"/>
    <n v="19921"/>
    <n v="1"/>
    <s v="Y"/>
    <x v="1"/>
    <n v="12"/>
    <n v="3"/>
    <n v="4"/>
    <n v="80"/>
    <n v="0"/>
    <n v="10"/>
    <n v="3"/>
    <n v="3"/>
    <x v="1"/>
    <m/>
    <n v="7"/>
    <n v="5"/>
    <n v="7"/>
  </r>
  <r>
    <n v="26"/>
    <x v="0"/>
    <x v="0"/>
    <n v="471"/>
    <x v="1"/>
    <n v="24"/>
    <n v="3"/>
    <x v="4"/>
    <n v="1"/>
    <n v="622"/>
    <n v="3"/>
    <x v="1"/>
    <n v="66"/>
    <n v="1"/>
    <n v="1"/>
    <x v="2"/>
    <n v="4"/>
    <x v="0"/>
    <n v="2340"/>
    <n v="23213"/>
    <n v="1"/>
    <s v="Y"/>
    <x v="0"/>
    <n v="18"/>
    <n v="3"/>
    <n v="2"/>
    <n v="80"/>
    <n v="0"/>
    <n v="1"/>
    <n v="3"/>
    <n v="1"/>
    <x v="6"/>
    <m/>
    <n v="0"/>
    <n v="0"/>
    <n v="0"/>
  </r>
  <r>
    <n v="37"/>
    <x v="1"/>
    <x v="0"/>
    <n v="799"/>
    <x v="1"/>
    <n v="1"/>
    <n v="3"/>
    <x v="4"/>
    <n v="1"/>
    <n v="623"/>
    <n v="2"/>
    <x v="0"/>
    <n v="59"/>
    <n v="3"/>
    <n v="3"/>
    <x v="3"/>
    <n v="4"/>
    <x v="0"/>
    <n v="7491"/>
    <n v="23848"/>
    <n v="4"/>
    <s v="Y"/>
    <x v="1"/>
    <n v="17"/>
    <n v="3"/>
    <n v="4"/>
    <n v="80"/>
    <n v="0"/>
    <n v="12"/>
    <n v="3"/>
    <n v="4"/>
    <x v="0"/>
    <m/>
    <n v="5"/>
    <n v="1"/>
    <n v="2"/>
  </r>
  <r>
    <n v="46"/>
    <x v="1"/>
    <x v="1"/>
    <n v="1034"/>
    <x v="1"/>
    <n v="18"/>
    <n v="1"/>
    <x v="2"/>
    <n v="1"/>
    <n v="624"/>
    <n v="1"/>
    <x v="0"/>
    <n v="86"/>
    <n v="3"/>
    <n v="3"/>
    <x v="4"/>
    <n v="3"/>
    <x v="1"/>
    <n v="10527"/>
    <n v="8984"/>
    <n v="5"/>
    <s v="Y"/>
    <x v="1"/>
    <n v="11"/>
    <n v="3"/>
    <n v="4"/>
    <n v="80"/>
    <n v="0"/>
    <n v="28"/>
    <n v="3"/>
    <n v="2"/>
    <x v="4"/>
    <m/>
    <n v="2"/>
    <n v="1"/>
    <n v="2"/>
  </r>
  <r>
    <n v="41"/>
    <x v="1"/>
    <x v="0"/>
    <n v="1276"/>
    <x v="0"/>
    <n v="2"/>
    <n v="5"/>
    <x v="0"/>
    <n v="1"/>
    <n v="625"/>
    <n v="2"/>
    <x v="0"/>
    <n v="91"/>
    <n v="3"/>
    <n v="4"/>
    <x v="5"/>
    <n v="1"/>
    <x v="1"/>
    <n v="16595"/>
    <n v="5626"/>
    <n v="7"/>
    <s v="Y"/>
    <x v="1"/>
    <n v="16"/>
    <n v="3"/>
    <n v="2"/>
    <n v="80"/>
    <n v="1"/>
    <n v="22"/>
    <n v="2"/>
    <n v="3"/>
    <x v="29"/>
    <m/>
    <n v="16"/>
    <n v="11"/>
    <n v="8"/>
  </r>
  <r>
    <n v="37"/>
    <x v="1"/>
    <x v="2"/>
    <n v="142"/>
    <x v="0"/>
    <n v="9"/>
    <n v="4"/>
    <x v="2"/>
    <n v="1"/>
    <n v="626"/>
    <n v="1"/>
    <x v="1"/>
    <n v="69"/>
    <n v="3"/>
    <n v="3"/>
    <x v="0"/>
    <n v="2"/>
    <x v="2"/>
    <n v="8834"/>
    <n v="24666"/>
    <n v="1"/>
    <s v="Y"/>
    <x v="1"/>
    <n v="13"/>
    <n v="3"/>
    <n v="4"/>
    <n v="80"/>
    <n v="1"/>
    <n v="9"/>
    <n v="6"/>
    <n v="3"/>
    <x v="7"/>
    <m/>
    <n v="5"/>
    <n v="7"/>
    <n v="7"/>
  </r>
  <r>
    <n v="52"/>
    <x v="1"/>
    <x v="0"/>
    <n v="956"/>
    <x v="1"/>
    <n v="6"/>
    <n v="2"/>
    <x v="4"/>
    <n v="1"/>
    <n v="630"/>
    <n v="4"/>
    <x v="1"/>
    <n v="78"/>
    <n v="3"/>
    <n v="2"/>
    <x v="1"/>
    <n v="1"/>
    <x v="2"/>
    <n v="5577"/>
    <n v="22087"/>
    <n v="3"/>
    <s v="Y"/>
    <x v="0"/>
    <n v="12"/>
    <n v="3"/>
    <n v="2"/>
    <n v="80"/>
    <n v="2"/>
    <n v="18"/>
    <n v="3"/>
    <n v="3"/>
    <x v="1"/>
    <m/>
    <n v="9"/>
    <n v="6"/>
    <n v="9"/>
  </r>
  <r>
    <n v="32"/>
    <x v="0"/>
    <x v="2"/>
    <n v="1474"/>
    <x v="0"/>
    <n v="11"/>
    <n v="4"/>
    <x v="1"/>
    <n v="1"/>
    <n v="631"/>
    <n v="4"/>
    <x v="1"/>
    <n v="60"/>
    <n v="4"/>
    <n v="2"/>
    <x v="0"/>
    <n v="3"/>
    <x v="1"/>
    <n v="4707"/>
    <n v="23914"/>
    <n v="8"/>
    <s v="Y"/>
    <x v="1"/>
    <n v="12"/>
    <n v="3"/>
    <n v="4"/>
    <n v="80"/>
    <n v="0"/>
    <n v="6"/>
    <n v="2"/>
    <n v="3"/>
    <x v="9"/>
    <m/>
    <n v="2"/>
    <n v="1"/>
    <n v="2"/>
  </r>
  <r>
    <n v="24"/>
    <x v="1"/>
    <x v="1"/>
    <n v="535"/>
    <x v="0"/>
    <n v="24"/>
    <n v="3"/>
    <x v="2"/>
    <n v="1"/>
    <n v="632"/>
    <n v="4"/>
    <x v="1"/>
    <n v="38"/>
    <n v="3"/>
    <n v="1"/>
    <x v="6"/>
    <n v="4"/>
    <x v="1"/>
    <n v="2400"/>
    <n v="5530"/>
    <n v="0"/>
    <s v="Y"/>
    <x v="1"/>
    <n v="13"/>
    <n v="3"/>
    <n v="3"/>
    <n v="80"/>
    <n v="2"/>
    <n v="3"/>
    <n v="3"/>
    <n v="3"/>
    <x v="4"/>
    <m/>
    <n v="2"/>
    <n v="2"/>
    <n v="1"/>
  </r>
  <r>
    <n v="38"/>
    <x v="1"/>
    <x v="0"/>
    <n v="1495"/>
    <x v="1"/>
    <n v="10"/>
    <n v="3"/>
    <x v="2"/>
    <n v="1"/>
    <n v="634"/>
    <n v="3"/>
    <x v="0"/>
    <n v="76"/>
    <n v="3"/>
    <n v="2"/>
    <x v="4"/>
    <n v="3"/>
    <x v="1"/>
    <n v="9824"/>
    <n v="22174"/>
    <n v="3"/>
    <s v="Y"/>
    <x v="1"/>
    <n v="19"/>
    <n v="3"/>
    <n v="3"/>
    <n v="80"/>
    <n v="1"/>
    <n v="18"/>
    <n v="4"/>
    <n v="3"/>
    <x v="6"/>
    <m/>
    <n v="0"/>
    <n v="0"/>
    <n v="0"/>
  </r>
  <r>
    <n v="37"/>
    <x v="1"/>
    <x v="0"/>
    <n v="446"/>
    <x v="1"/>
    <n v="1"/>
    <n v="4"/>
    <x v="0"/>
    <n v="1"/>
    <n v="635"/>
    <n v="2"/>
    <x v="0"/>
    <n v="65"/>
    <n v="3"/>
    <n v="2"/>
    <x v="3"/>
    <n v="2"/>
    <x v="1"/>
    <n v="6447"/>
    <n v="15701"/>
    <n v="6"/>
    <s v="Y"/>
    <x v="1"/>
    <n v="12"/>
    <n v="3"/>
    <n v="2"/>
    <n v="80"/>
    <n v="1"/>
    <n v="8"/>
    <n v="2"/>
    <n v="2"/>
    <x v="0"/>
    <m/>
    <n v="5"/>
    <n v="4"/>
    <n v="3"/>
  </r>
  <r>
    <n v="49"/>
    <x v="1"/>
    <x v="0"/>
    <n v="1245"/>
    <x v="1"/>
    <n v="18"/>
    <n v="4"/>
    <x v="0"/>
    <n v="1"/>
    <n v="638"/>
    <n v="4"/>
    <x v="1"/>
    <n v="58"/>
    <n v="2"/>
    <n v="5"/>
    <x v="7"/>
    <n v="3"/>
    <x v="2"/>
    <n v="19502"/>
    <n v="2125"/>
    <n v="1"/>
    <s v="Y"/>
    <x v="0"/>
    <n v="17"/>
    <n v="3"/>
    <n v="3"/>
    <n v="80"/>
    <n v="1"/>
    <n v="31"/>
    <n v="5"/>
    <n v="3"/>
    <x v="31"/>
    <m/>
    <n v="9"/>
    <n v="0"/>
    <n v="9"/>
  </r>
  <r>
    <n v="24"/>
    <x v="1"/>
    <x v="0"/>
    <n v="691"/>
    <x v="1"/>
    <n v="23"/>
    <n v="3"/>
    <x v="2"/>
    <n v="1"/>
    <n v="639"/>
    <n v="2"/>
    <x v="1"/>
    <n v="89"/>
    <n v="4"/>
    <n v="1"/>
    <x v="1"/>
    <n v="4"/>
    <x v="1"/>
    <n v="2725"/>
    <n v="21630"/>
    <n v="1"/>
    <s v="Y"/>
    <x v="0"/>
    <n v="11"/>
    <n v="3"/>
    <n v="2"/>
    <n v="80"/>
    <n v="2"/>
    <n v="6"/>
    <n v="3"/>
    <n v="3"/>
    <x v="0"/>
    <m/>
    <n v="5"/>
    <n v="1"/>
    <n v="4"/>
  </r>
  <r>
    <n v="26"/>
    <x v="1"/>
    <x v="0"/>
    <n v="703"/>
    <x v="0"/>
    <n v="28"/>
    <n v="2"/>
    <x v="3"/>
    <n v="1"/>
    <n v="641"/>
    <n v="1"/>
    <x v="1"/>
    <n v="66"/>
    <n v="3"/>
    <n v="2"/>
    <x v="0"/>
    <n v="2"/>
    <x v="1"/>
    <n v="6272"/>
    <n v="7428"/>
    <n v="1"/>
    <s v="Y"/>
    <x v="1"/>
    <n v="20"/>
    <n v="4"/>
    <n v="4"/>
    <n v="80"/>
    <n v="2"/>
    <n v="6"/>
    <n v="5"/>
    <n v="4"/>
    <x v="8"/>
    <m/>
    <n v="3"/>
    <n v="1"/>
    <n v="4"/>
  </r>
  <r>
    <n v="24"/>
    <x v="1"/>
    <x v="0"/>
    <n v="823"/>
    <x v="1"/>
    <n v="17"/>
    <n v="2"/>
    <x v="1"/>
    <n v="1"/>
    <n v="643"/>
    <n v="4"/>
    <x v="1"/>
    <n v="94"/>
    <n v="2"/>
    <n v="1"/>
    <x v="2"/>
    <n v="2"/>
    <x v="1"/>
    <n v="2127"/>
    <n v="9100"/>
    <n v="1"/>
    <s v="Y"/>
    <x v="1"/>
    <n v="21"/>
    <n v="4"/>
    <n v="4"/>
    <n v="80"/>
    <n v="1"/>
    <n v="1"/>
    <n v="2"/>
    <n v="3"/>
    <x v="6"/>
    <m/>
    <n v="0"/>
    <n v="0"/>
    <n v="0"/>
  </r>
  <r>
    <n v="50"/>
    <x v="1"/>
    <x v="1"/>
    <n v="1246"/>
    <x v="2"/>
    <n v="3"/>
    <n v="3"/>
    <x v="2"/>
    <n v="1"/>
    <n v="644"/>
    <n v="1"/>
    <x v="1"/>
    <n v="99"/>
    <n v="3"/>
    <n v="5"/>
    <x v="5"/>
    <n v="2"/>
    <x v="1"/>
    <n v="18200"/>
    <n v="7999"/>
    <n v="1"/>
    <s v="Y"/>
    <x v="1"/>
    <n v="11"/>
    <n v="3"/>
    <n v="3"/>
    <n v="80"/>
    <n v="1"/>
    <n v="32"/>
    <n v="2"/>
    <n v="3"/>
    <x v="32"/>
    <m/>
    <n v="5"/>
    <n v="10"/>
    <n v="7"/>
  </r>
  <r>
    <n v="25"/>
    <x v="1"/>
    <x v="0"/>
    <n v="622"/>
    <x v="0"/>
    <n v="13"/>
    <n v="1"/>
    <x v="2"/>
    <n v="1"/>
    <n v="645"/>
    <n v="2"/>
    <x v="1"/>
    <n v="40"/>
    <n v="3"/>
    <n v="1"/>
    <x v="6"/>
    <n v="3"/>
    <x v="1"/>
    <n v="2096"/>
    <n v="26376"/>
    <n v="1"/>
    <s v="Y"/>
    <x v="1"/>
    <n v="11"/>
    <n v="3"/>
    <n v="3"/>
    <n v="80"/>
    <n v="0"/>
    <n v="7"/>
    <n v="1"/>
    <n v="3"/>
    <x v="5"/>
    <m/>
    <n v="4"/>
    <n v="0"/>
    <n v="6"/>
  </r>
  <r>
    <n v="24"/>
    <x v="0"/>
    <x v="1"/>
    <n v="1287"/>
    <x v="1"/>
    <n v="7"/>
    <n v="3"/>
    <x v="0"/>
    <n v="1"/>
    <n v="647"/>
    <n v="1"/>
    <x v="0"/>
    <n v="55"/>
    <n v="3"/>
    <n v="1"/>
    <x v="2"/>
    <n v="3"/>
    <x v="1"/>
    <n v="2886"/>
    <n v="14168"/>
    <n v="1"/>
    <s v="Y"/>
    <x v="0"/>
    <n v="16"/>
    <n v="3"/>
    <n v="4"/>
    <n v="80"/>
    <n v="1"/>
    <n v="6"/>
    <n v="4"/>
    <n v="3"/>
    <x v="0"/>
    <m/>
    <n v="3"/>
    <n v="1"/>
    <n v="2"/>
  </r>
  <r>
    <n v="30"/>
    <x v="0"/>
    <x v="1"/>
    <n v="448"/>
    <x v="0"/>
    <n v="12"/>
    <n v="4"/>
    <x v="0"/>
    <n v="1"/>
    <n v="648"/>
    <n v="2"/>
    <x v="1"/>
    <n v="74"/>
    <n v="2"/>
    <n v="1"/>
    <x v="6"/>
    <n v="1"/>
    <x v="1"/>
    <n v="2033"/>
    <n v="14470"/>
    <n v="1"/>
    <s v="Y"/>
    <x v="1"/>
    <n v="18"/>
    <n v="3"/>
    <n v="3"/>
    <n v="80"/>
    <n v="1"/>
    <n v="1"/>
    <n v="2"/>
    <n v="4"/>
    <x v="6"/>
    <m/>
    <n v="0"/>
    <n v="0"/>
    <n v="0"/>
  </r>
  <r>
    <n v="34"/>
    <x v="1"/>
    <x v="0"/>
    <n v="254"/>
    <x v="1"/>
    <n v="1"/>
    <n v="2"/>
    <x v="0"/>
    <n v="1"/>
    <n v="649"/>
    <n v="2"/>
    <x v="1"/>
    <n v="83"/>
    <n v="2"/>
    <n v="1"/>
    <x v="1"/>
    <n v="4"/>
    <x v="1"/>
    <n v="3622"/>
    <n v="22794"/>
    <n v="1"/>
    <s v="Y"/>
    <x v="0"/>
    <n v="13"/>
    <n v="3"/>
    <n v="4"/>
    <n v="80"/>
    <n v="1"/>
    <n v="6"/>
    <n v="3"/>
    <n v="3"/>
    <x v="0"/>
    <m/>
    <n v="5"/>
    <n v="1"/>
    <n v="3"/>
  </r>
  <r>
    <n v="31"/>
    <x v="0"/>
    <x v="0"/>
    <n v="1365"/>
    <x v="0"/>
    <n v="13"/>
    <n v="4"/>
    <x v="2"/>
    <n v="1"/>
    <n v="650"/>
    <n v="2"/>
    <x v="1"/>
    <n v="46"/>
    <n v="3"/>
    <n v="2"/>
    <x v="0"/>
    <n v="1"/>
    <x v="2"/>
    <n v="4233"/>
    <n v="11512"/>
    <n v="2"/>
    <s v="Y"/>
    <x v="1"/>
    <n v="17"/>
    <n v="3"/>
    <n v="3"/>
    <n v="80"/>
    <n v="0"/>
    <n v="9"/>
    <n v="2"/>
    <n v="1"/>
    <x v="11"/>
    <m/>
    <n v="1"/>
    <n v="1"/>
    <n v="2"/>
  </r>
  <r>
    <n v="35"/>
    <x v="1"/>
    <x v="0"/>
    <n v="538"/>
    <x v="1"/>
    <n v="25"/>
    <n v="2"/>
    <x v="1"/>
    <n v="1"/>
    <n v="652"/>
    <n v="1"/>
    <x v="1"/>
    <n v="54"/>
    <n v="2"/>
    <n v="2"/>
    <x v="2"/>
    <n v="4"/>
    <x v="0"/>
    <n v="3681"/>
    <n v="14004"/>
    <n v="4"/>
    <s v="Y"/>
    <x v="1"/>
    <n v="14"/>
    <n v="3"/>
    <n v="4"/>
    <n v="80"/>
    <n v="0"/>
    <n v="9"/>
    <n v="3"/>
    <n v="3"/>
    <x v="11"/>
    <m/>
    <n v="2"/>
    <n v="0"/>
    <n v="2"/>
  </r>
  <r>
    <n v="31"/>
    <x v="1"/>
    <x v="0"/>
    <n v="525"/>
    <x v="0"/>
    <n v="6"/>
    <n v="4"/>
    <x v="2"/>
    <n v="1"/>
    <n v="653"/>
    <n v="1"/>
    <x v="1"/>
    <n v="66"/>
    <n v="4"/>
    <n v="2"/>
    <x v="0"/>
    <n v="4"/>
    <x v="2"/>
    <n v="5460"/>
    <n v="6219"/>
    <n v="4"/>
    <s v="Y"/>
    <x v="1"/>
    <n v="22"/>
    <n v="4"/>
    <n v="4"/>
    <n v="80"/>
    <n v="2"/>
    <n v="13"/>
    <n v="4"/>
    <n v="4"/>
    <x v="5"/>
    <m/>
    <n v="7"/>
    <n v="5"/>
    <n v="7"/>
  </r>
  <r>
    <n v="27"/>
    <x v="1"/>
    <x v="0"/>
    <n v="798"/>
    <x v="1"/>
    <n v="6"/>
    <n v="4"/>
    <x v="2"/>
    <n v="1"/>
    <n v="655"/>
    <n v="1"/>
    <x v="0"/>
    <n v="66"/>
    <n v="2"/>
    <n v="1"/>
    <x v="1"/>
    <n v="3"/>
    <x v="2"/>
    <n v="2187"/>
    <n v="5013"/>
    <n v="0"/>
    <s v="Y"/>
    <x v="1"/>
    <n v="12"/>
    <n v="3"/>
    <n v="3"/>
    <n v="80"/>
    <n v="2"/>
    <n v="6"/>
    <n v="5"/>
    <n v="2"/>
    <x v="8"/>
    <m/>
    <n v="3"/>
    <n v="0"/>
    <n v="3"/>
  </r>
  <r>
    <n v="37"/>
    <x v="1"/>
    <x v="0"/>
    <n v="558"/>
    <x v="0"/>
    <n v="2"/>
    <n v="3"/>
    <x v="3"/>
    <n v="1"/>
    <n v="656"/>
    <n v="4"/>
    <x v="1"/>
    <n v="75"/>
    <n v="3"/>
    <n v="2"/>
    <x v="0"/>
    <n v="3"/>
    <x v="1"/>
    <n v="9602"/>
    <n v="3010"/>
    <n v="4"/>
    <s v="Y"/>
    <x v="0"/>
    <n v="11"/>
    <n v="3"/>
    <n v="3"/>
    <n v="80"/>
    <n v="1"/>
    <n v="17"/>
    <n v="3"/>
    <n v="2"/>
    <x v="11"/>
    <m/>
    <n v="0"/>
    <n v="1"/>
    <n v="0"/>
  </r>
  <r>
    <n v="20"/>
    <x v="1"/>
    <x v="0"/>
    <n v="959"/>
    <x v="1"/>
    <n v="1"/>
    <n v="3"/>
    <x v="0"/>
    <n v="1"/>
    <n v="657"/>
    <n v="4"/>
    <x v="0"/>
    <n v="83"/>
    <n v="2"/>
    <n v="1"/>
    <x v="1"/>
    <n v="2"/>
    <x v="0"/>
    <n v="2836"/>
    <n v="11757"/>
    <n v="1"/>
    <s v="Y"/>
    <x v="1"/>
    <n v="13"/>
    <n v="3"/>
    <n v="4"/>
    <n v="80"/>
    <n v="0"/>
    <n v="1"/>
    <n v="0"/>
    <n v="4"/>
    <x v="6"/>
    <m/>
    <n v="0"/>
    <n v="0"/>
    <n v="0"/>
  </r>
  <r>
    <n v="42"/>
    <x v="1"/>
    <x v="0"/>
    <n v="622"/>
    <x v="1"/>
    <n v="2"/>
    <n v="4"/>
    <x v="0"/>
    <n v="1"/>
    <n v="659"/>
    <n v="3"/>
    <x v="0"/>
    <n v="81"/>
    <n v="3"/>
    <n v="2"/>
    <x v="4"/>
    <n v="4"/>
    <x v="1"/>
    <n v="4089"/>
    <n v="5718"/>
    <n v="1"/>
    <s v="Y"/>
    <x v="1"/>
    <n v="13"/>
    <n v="3"/>
    <n v="2"/>
    <n v="80"/>
    <n v="2"/>
    <n v="10"/>
    <n v="4"/>
    <n v="3"/>
    <x v="1"/>
    <m/>
    <n v="2"/>
    <n v="2"/>
    <n v="2"/>
  </r>
  <r>
    <n v="43"/>
    <x v="1"/>
    <x v="0"/>
    <n v="782"/>
    <x v="1"/>
    <n v="6"/>
    <n v="4"/>
    <x v="1"/>
    <n v="1"/>
    <n v="661"/>
    <n v="2"/>
    <x v="1"/>
    <n v="50"/>
    <n v="2"/>
    <n v="4"/>
    <x v="7"/>
    <n v="4"/>
    <x v="2"/>
    <n v="16627"/>
    <n v="2671"/>
    <n v="4"/>
    <s v="Y"/>
    <x v="0"/>
    <n v="14"/>
    <n v="3"/>
    <n v="3"/>
    <n v="80"/>
    <n v="1"/>
    <n v="21"/>
    <n v="3"/>
    <n v="2"/>
    <x v="6"/>
    <m/>
    <n v="0"/>
    <n v="0"/>
    <n v="0"/>
  </r>
  <r>
    <n v="38"/>
    <x v="1"/>
    <x v="0"/>
    <n v="362"/>
    <x v="1"/>
    <n v="1"/>
    <n v="1"/>
    <x v="0"/>
    <n v="1"/>
    <n v="662"/>
    <n v="3"/>
    <x v="0"/>
    <n v="43"/>
    <n v="3"/>
    <n v="1"/>
    <x v="1"/>
    <n v="1"/>
    <x v="0"/>
    <n v="2619"/>
    <n v="14561"/>
    <n v="3"/>
    <s v="Y"/>
    <x v="1"/>
    <n v="17"/>
    <n v="3"/>
    <n v="4"/>
    <n v="80"/>
    <n v="0"/>
    <n v="8"/>
    <n v="3"/>
    <n v="2"/>
    <x v="2"/>
    <m/>
    <n v="0"/>
    <n v="0"/>
    <n v="0"/>
  </r>
  <r>
    <n v="43"/>
    <x v="1"/>
    <x v="1"/>
    <n v="1001"/>
    <x v="1"/>
    <n v="9"/>
    <n v="5"/>
    <x v="2"/>
    <n v="1"/>
    <n v="663"/>
    <n v="4"/>
    <x v="1"/>
    <n v="72"/>
    <n v="3"/>
    <n v="2"/>
    <x v="2"/>
    <n v="3"/>
    <x v="2"/>
    <n v="5679"/>
    <n v="19627"/>
    <n v="3"/>
    <s v="Y"/>
    <x v="0"/>
    <n v="13"/>
    <n v="3"/>
    <n v="2"/>
    <n v="80"/>
    <n v="1"/>
    <n v="10"/>
    <n v="3"/>
    <n v="3"/>
    <x v="3"/>
    <m/>
    <n v="7"/>
    <n v="4"/>
    <n v="7"/>
  </r>
  <r>
    <n v="48"/>
    <x v="1"/>
    <x v="0"/>
    <n v="1236"/>
    <x v="1"/>
    <n v="1"/>
    <n v="4"/>
    <x v="0"/>
    <n v="1"/>
    <n v="664"/>
    <n v="4"/>
    <x v="0"/>
    <n v="40"/>
    <n v="2"/>
    <n v="4"/>
    <x v="5"/>
    <n v="1"/>
    <x v="1"/>
    <n v="15402"/>
    <n v="17997"/>
    <n v="7"/>
    <s v="Y"/>
    <x v="1"/>
    <n v="11"/>
    <n v="3"/>
    <n v="1"/>
    <n v="80"/>
    <n v="1"/>
    <n v="21"/>
    <n v="3"/>
    <n v="1"/>
    <x v="11"/>
    <m/>
    <n v="2"/>
    <n v="0"/>
    <n v="2"/>
  </r>
  <r>
    <n v="44"/>
    <x v="1"/>
    <x v="0"/>
    <n v="1112"/>
    <x v="2"/>
    <n v="1"/>
    <n v="4"/>
    <x v="0"/>
    <n v="1"/>
    <n v="665"/>
    <n v="1"/>
    <x v="0"/>
    <n v="50"/>
    <n v="2"/>
    <n v="2"/>
    <x v="8"/>
    <n v="3"/>
    <x v="0"/>
    <n v="5985"/>
    <n v="26894"/>
    <n v="4"/>
    <s v="Y"/>
    <x v="1"/>
    <n v="11"/>
    <n v="3"/>
    <n v="2"/>
    <n v="80"/>
    <n v="0"/>
    <n v="10"/>
    <n v="1"/>
    <n v="4"/>
    <x v="4"/>
    <m/>
    <n v="2"/>
    <n v="0"/>
    <n v="2"/>
  </r>
  <r>
    <n v="34"/>
    <x v="1"/>
    <x v="0"/>
    <n v="204"/>
    <x v="0"/>
    <n v="14"/>
    <n v="3"/>
    <x v="4"/>
    <n v="1"/>
    <n v="666"/>
    <n v="3"/>
    <x v="0"/>
    <n v="31"/>
    <n v="3"/>
    <n v="1"/>
    <x v="6"/>
    <n v="3"/>
    <x v="2"/>
    <n v="2579"/>
    <n v="2912"/>
    <n v="1"/>
    <s v="Y"/>
    <x v="0"/>
    <n v="18"/>
    <n v="3"/>
    <n v="4"/>
    <n v="80"/>
    <n v="2"/>
    <n v="8"/>
    <n v="3"/>
    <n v="3"/>
    <x v="3"/>
    <m/>
    <n v="2"/>
    <n v="0"/>
    <n v="6"/>
  </r>
  <r>
    <n v="27"/>
    <x v="0"/>
    <x v="0"/>
    <n v="1420"/>
    <x v="0"/>
    <n v="2"/>
    <n v="1"/>
    <x v="3"/>
    <n v="1"/>
    <n v="667"/>
    <n v="3"/>
    <x v="1"/>
    <n v="85"/>
    <n v="3"/>
    <n v="1"/>
    <x v="6"/>
    <n v="1"/>
    <x v="2"/>
    <n v="3041"/>
    <n v="16346"/>
    <n v="0"/>
    <s v="Y"/>
    <x v="1"/>
    <n v="11"/>
    <n v="3"/>
    <n v="2"/>
    <n v="80"/>
    <n v="1"/>
    <n v="5"/>
    <n v="3"/>
    <n v="3"/>
    <x v="9"/>
    <m/>
    <n v="3"/>
    <n v="0"/>
    <n v="2"/>
  </r>
  <r>
    <n v="21"/>
    <x v="1"/>
    <x v="0"/>
    <n v="1343"/>
    <x v="0"/>
    <n v="22"/>
    <n v="1"/>
    <x v="4"/>
    <n v="1"/>
    <n v="669"/>
    <n v="3"/>
    <x v="1"/>
    <n v="49"/>
    <n v="3"/>
    <n v="1"/>
    <x v="6"/>
    <n v="3"/>
    <x v="0"/>
    <n v="3447"/>
    <n v="24444"/>
    <n v="1"/>
    <s v="Y"/>
    <x v="1"/>
    <n v="11"/>
    <n v="3"/>
    <n v="3"/>
    <n v="80"/>
    <n v="0"/>
    <n v="3"/>
    <n v="2"/>
    <n v="3"/>
    <x v="11"/>
    <m/>
    <n v="2"/>
    <n v="1"/>
    <n v="2"/>
  </r>
  <r>
    <n v="44"/>
    <x v="1"/>
    <x v="0"/>
    <n v="1315"/>
    <x v="1"/>
    <n v="3"/>
    <n v="4"/>
    <x v="1"/>
    <n v="1"/>
    <n v="671"/>
    <n v="4"/>
    <x v="1"/>
    <n v="35"/>
    <n v="3"/>
    <n v="5"/>
    <x v="5"/>
    <n v="4"/>
    <x v="1"/>
    <n v="19513"/>
    <n v="9358"/>
    <n v="4"/>
    <s v="Y"/>
    <x v="0"/>
    <n v="12"/>
    <n v="3"/>
    <n v="1"/>
    <n v="80"/>
    <n v="1"/>
    <n v="26"/>
    <n v="2"/>
    <n v="4"/>
    <x v="4"/>
    <m/>
    <n v="2"/>
    <n v="0"/>
    <n v="1"/>
  </r>
  <r>
    <n v="22"/>
    <x v="1"/>
    <x v="0"/>
    <n v="604"/>
    <x v="1"/>
    <n v="6"/>
    <n v="1"/>
    <x v="2"/>
    <n v="1"/>
    <n v="675"/>
    <n v="1"/>
    <x v="1"/>
    <n v="69"/>
    <n v="3"/>
    <n v="1"/>
    <x v="1"/>
    <n v="3"/>
    <x v="1"/>
    <n v="2773"/>
    <n v="12145"/>
    <n v="0"/>
    <s v="Y"/>
    <x v="1"/>
    <n v="20"/>
    <n v="4"/>
    <n v="4"/>
    <n v="80"/>
    <n v="0"/>
    <n v="3"/>
    <n v="3"/>
    <n v="3"/>
    <x v="4"/>
    <m/>
    <n v="2"/>
    <n v="2"/>
    <n v="2"/>
  </r>
  <r>
    <n v="33"/>
    <x v="1"/>
    <x v="0"/>
    <n v="1216"/>
    <x v="0"/>
    <n v="8"/>
    <n v="4"/>
    <x v="3"/>
    <n v="1"/>
    <n v="677"/>
    <n v="3"/>
    <x v="1"/>
    <n v="39"/>
    <n v="3"/>
    <n v="2"/>
    <x v="0"/>
    <n v="3"/>
    <x v="2"/>
    <n v="7104"/>
    <n v="20431"/>
    <n v="0"/>
    <s v="Y"/>
    <x v="1"/>
    <n v="12"/>
    <n v="3"/>
    <n v="4"/>
    <n v="80"/>
    <n v="0"/>
    <n v="6"/>
    <n v="3"/>
    <n v="3"/>
    <x v="8"/>
    <m/>
    <n v="0"/>
    <n v="1"/>
    <n v="2"/>
  </r>
  <r>
    <n v="32"/>
    <x v="1"/>
    <x v="0"/>
    <n v="646"/>
    <x v="1"/>
    <n v="9"/>
    <n v="4"/>
    <x v="0"/>
    <n v="1"/>
    <n v="679"/>
    <n v="1"/>
    <x v="0"/>
    <n v="92"/>
    <n v="3"/>
    <n v="2"/>
    <x v="1"/>
    <n v="4"/>
    <x v="1"/>
    <n v="6322"/>
    <n v="18089"/>
    <n v="1"/>
    <s v="Y"/>
    <x v="0"/>
    <n v="12"/>
    <n v="3"/>
    <n v="4"/>
    <n v="80"/>
    <n v="1"/>
    <n v="6"/>
    <n v="2"/>
    <n v="2"/>
    <x v="0"/>
    <m/>
    <n v="4"/>
    <n v="0"/>
    <n v="5"/>
  </r>
  <r>
    <n v="30"/>
    <x v="1"/>
    <x v="1"/>
    <n v="160"/>
    <x v="1"/>
    <n v="3"/>
    <n v="3"/>
    <x v="2"/>
    <n v="1"/>
    <n v="680"/>
    <n v="3"/>
    <x v="0"/>
    <n v="71"/>
    <n v="3"/>
    <n v="1"/>
    <x v="1"/>
    <n v="3"/>
    <x v="2"/>
    <n v="2083"/>
    <n v="22653"/>
    <n v="1"/>
    <s v="Y"/>
    <x v="1"/>
    <n v="20"/>
    <n v="4"/>
    <n v="3"/>
    <n v="80"/>
    <n v="1"/>
    <n v="1"/>
    <n v="2"/>
    <n v="3"/>
    <x v="6"/>
    <m/>
    <n v="0"/>
    <n v="0"/>
    <n v="0"/>
  </r>
  <r>
    <n v="53"/>
    <x v="1"/>
    <x v="0"/>
    <n v="238"/>
    <x v="0"/>
    <n v="1"/>
    <n v="1"/>
    <x v="2"/>
    <n v="1"/>
    <n v="682"/>
    <n v="4"/>
    <x v="0"/>
    <n v="34"/>
    <n v="3"/>
    <n v="2"/>
    <x v="0"/>
    <n v="1"/>
    <x v="0"/>
    <n v="8381"/>
    <n v="7507"/>
    <n v="7"/>
    <s v="Y"/>
    <x v="1"/>
    <n v="20"/>
    <n v="4"/>
    <n v="4"/>
    <n v="80"/>
    <n v="0"/>
    <n v="18"/>
    <n v="2"/>
    <n v="4"/>
    <x v="13"/>
    <m/>
    <n v="7"/>
    <n v="8"/>
    <n v="10"/>
  </r>
  <r>
    <n v="34"/>
    <x v="1"/>
    <x v="0"/>
    <n v="1397"/>
    <x v="1"/>
    <n v="1"/>
    <n v="5"/>
    <x v="0"/>
    <n v="1"/>
    <n v="683"/>
    <n v="2"/>
    <x v="1"/>
    <n v="42"/>
    <n v="3"/>
    <n v="1"/>
    <x v="1"/>
    <n v="4"/>
    <x v="1"/>
    <n v="2691"/>
    <n v="7660"/>
    <n v="1"/>
    <s v="Y"/>
    <x v="1"/>
    <n v="12"/>
    <n v="3"/>
    <n v="4"/>
    <n v="80"/>
    <n v="1"/>
    <n v="10"/>
    <n v="4"/>
    <n v="2"/>
    <x v="1"/>
    <m/>
    <n v="9"/>
    <n v="8"/>
    <n v="8"/>
  </r>
  <r>
    <n v="45"/>
    <x v="0"/>
    <x v="1"/>
    <n v="306"/>
    <x v="0"/>
    <n v="26"/>
    <n v="4"/>
    <x v="0"/>
    <n v="1"/>
    <n v="684"/>
    <n v="1"/>
    <x v="0"/>
    <n v="100"/>
    <n v="3"/>
    <n v="2"/>
    <x v="0"/>
    <n v="1"/>
    <x v="1"/>
    <n v="4286"/>
    <n v="5630"/>
    <n v="2"/>
    <s v="Y"/>
    <x v="1"/>
    <n v="14"/>
    <n v="3"/>
    <n v="4"/>
    <n v="80"/>
    <n v="2"/>
    <n v="5"/>
    <n v="4"/>
    <n v="3"/>
    <x v="6"/>
    <m/>
    <n v="1"/>
    <n v="0"/>
    <n v="0"/>
  </r>
  <r>
    <n v="26"/>
    <x v="1"/>
    <x v="0"/>
    <n v="991"/>
    <x v="1"/>
    <n v="6"/>
    <n v="3"/>
    <x v="0"/>
    <n v="1"/>
    <n v="686"/>
    <n v="3"/>
    <x v="0"/>
    <n v="71"/>
    <n v="3"/>
    <n v="1"/>
    <x v="2"/>
    <n v="4"/>
    <x v="1"/>
    <n v="2659"/>
    <n v="17759"/>
    <n v="1"/>
    <s v="Y"/>
    <x v="0"/>
    <n v="13"/>
    <n v="3"/>
    <n v="3"/>
    <n v="80"/>
    <n v="1"/>
    <n v="3"/>
    <n v="2"/>
    <n v="3"/>
    <x v="11"/>
    <m/>
    <n v="2"/>
    <n v="0"/>
    <n v="2"/>
  </r>
  <r>
    <n v="37"/>
    <x v="1"/>
    <x v="0"/>
    <n v="482"/>
    <x v="1"/>
    <n v="3"/>
    <n v="3"/>
    <x v="1"/>
    <n v="1"/>
    <n v="689"/>
    <n v="3"/>
    <x v="1"/>
    <n v="36"/>
    <n v="3"/>
    <n v="3"/>
    <x v="3"/>
    <n v="3"/>
    <x v="1"/>
    <n v="9434"/>
    <n v="9606"/>
    <n v="1"/>
    <s v="Y"/>
    <x v="1"/>
    <n v="15"/>
    <n v="3"/>
    <n v="3"/>
    <n v="80"/>
    <n v="1"/>
    <n v="10"/>
    <n v="2"/>
    <n v="3"/>
    <x v="1"/>
    <m/>
    <n v="7"/>
    <n v="7"/>
    <n v="8"/>
  </r>
  <r>
    <n v="29"/>
    <x v="1"/>
    <x v="0"/>
    <n v="1176"/>
    <x v="0"/>
    <n v="3"/>
    <n v="2"/>
    <x v="2"/>
    <n v="1"/>
    <n v="690"/>
    <n v="2"/>
    <x v="0"/>
    <n v="62"/>
    <n v="3"/>
    <n v="2"/>
    <x v="0"/>
    <n v="3"/>
    <x v="1"/>
    <n v="5561"/>
    <n v="3487"/>
    <n v="1"/>
    <s v="Y"/>
    <x v="1"/>
    <n v="14"/>
    <n v="3"/>
    <n v="1"/>
    <n v="80"/>
    <n v="1"/>
    <n v="6"/>
    <n v="5"/>
    <n v="2"/>
    <x v="0"/>
    <m/>
    <n v="0"/>
    <n v="1"/>
    <n v="2"/>
  </r>
  <r>
    <n v="35"/>
    <x v="1"/>
    <x v="0"/>
    <n v="1017"/>
    <x v="1"/>
    <n v="6"/>
    <n v="4"/>
    <x v="0"/>
    <n v="1"/>
    <n v="691"/>
    <n v="2"/>
    <x v="1"/>
    <n v="82"/>
    <n v="1"/>
    <n v="2"/>
    <x v="1"/>
    <n v="4"/>
    <x v="0"/>
    <n v="6646"/>
    <n v="19368"/>
    <n v="1"/>
    <s v="Y"/>
    <x v="1"/>
    <n v="13"/>
    <n v="3"/>
    <n v="2"/>
    <n v="80"/>
    <n v="0"/>
    <n v="17"/>
    <n v="3"/>
    <n v="3"/>
    <x v="18"/>
    <m/>
    <n v="11"/>
    <n v="11"/>
    <n v="8"/>
  </r>
  <r>
    <n v="33"/>
    <x v="1"/>
    <x v="1"/>
    <n v="1296"/>
    <x v="1"/>
    <n v="6"/>
    <n v="3"/>
    <x v="0"/>
    <n v="1"/>
    <n v="692"/>
    <n v="3"/>
    <x v="1"/>
    <n v="30"/>
    <n v="3"/>
    <n v="2"/>
    <x v="4"/>
    <n v="4"/>
    <x v="2"/>
    <n v="7725"/>
    <n v="5335"/>
    <n v="3"/>
    <s v="Y"/>
    <x v="1"/>
    <n v="23"/>
    <n v="4"/>
    <n v="3"/>
    <n v="80"/>
    <n v="1"/>
    <n v="15"/>
    <n v="2"/>
    <n v="1"/>
    <x v="20"/>
    <m/>
    <n v="11"/>
    <n v="4"/>
    <n v="7"/>
  </r>
  <r>
    <n v="54"/>
    <x v="1"/>
    <x v="0"/>
    <n v="397"/>
    <x v="2"/>
    <n v="19"/>
    <n v="4"/>
    <x v="2"/>
    <n v="1"/>
    <n v="698"/>
    <n v="3"/>
    <x v="1"/>
    <n v="88"/>
    <n v="3"/>
    <n v="3"/>
    <x v="8"/>
    <n v="2"/>
    <x v="1"/>
    <n v="10725"/>
    <n v="6729"/>
    <n v="2"/>
    <s v="Y"/>
    <x v="1"/>
    <n v="15"/>
    <n v="3"/>
    <n v="3"/>
    <n v="80"/>
    <n v="1"/>
    <n v="16"/>
    <n v="1"/>
    <n v="4"/>
    <x v="7"/>
    <m/>
    <n v="7"/>
    <n v="7"/>
    <n v="1"/>
  </r>
  <r>
    <n v="36"/>
    <x v="1"/>
    <x v="0"/>
    <n v="913"/>
    <x v="1"/>
    <n v="9"/>
    <n v="2"/>
    <x v="2"/>
    <n v="1"/>
    <n v="699"/>
    <n v="2"/>
    <x v="1"/>
    <n v="48"/>
    <n v="2"/>
    <n v="2"/>
    <x v="3"/>
    <n v="2"/>
    <x v="2"/>
    <n v="8847"/>
    <n v="13934"/>
    <n v="2"/>
    <s v="Y"/>
    <x v="0"/>
    <n v="11"/>
    <n v="3"/>
    <n v="3"/>
    <n v="80"/>
    <n v="1"/>
    <n v="13"/>
    <n v="2"/>
    <n v="3"/>
    <x v="11"/>
    <m/>
    <n v="2"/>
    <n v="0"/>
    <n v="2"/>
  </r>
  <r>
    <n v="27"/>
    <x v="1"/>
    <x v="0"/>
    <n v="1115"/>
    <x v="1"/>
    <n v="3"/>
    <n v="4"/>
    <x v="2"/>
    <n v="1"/>
    <n v="700"/>
    <n v="1"/>
    <x v="1"/>
    <n v="54"/>
    <n v="2"/>
    <n v="1"/>
    <x v="1"/>
    <n v="4"/>
    <x v="0"/>
    <n v="2045"/>
    <n v="15174"/>
    <n v="0"/>
    <s v="Y"/>
    <x v="1"/>
    <n v="13"/>
    <n v="3"/>
    <n v="4"/>
    <n v="80"/>
    <n v="0"/>
    <n v="5"/>
    <n v="0"/>
    <n v="3"/>
    <x v="9"/>
    <m/>
    <n v="2"/>
    <n v="1"/>
    <n v="1"/>
  </r>
  <r>
    <n v="20"/>
    <x v="0"/>
    <x v="0"/>
    <n v="1362"/>
    <x v="1"/>
    <n v="10"/>
    <n v="1"/>
    <x v="2"/>
    <n v="1"/>
    <n v="701"/>
    <n v="4"/>
    <x v="1"/>
    <n v="32"/>
    <n v="3"/>
    <n v="1"/>
    <x v="1"/>
    <n v="3"/>
    <x v="0"/>
    <n v="1009"/>
    <n v="26999"/>
    <n v="1"/>
    <s v="Y"/>
    <x v="0"/>
    <n v="11"/>
    <n v="3"/>
    <n v="4"/>
    <n v="80"/>
    <n v="0"/>
    <n v="1"/>
    <n v="5"/>
    <n v="3"/>
    <x v="6"/>
    <m/>
    <n v="0"/>
    <n v="1"/>
    <n v="1"/>
  </r>
  <r>
    <n v="33"/>
    <x v="0"/>
    <x v="1"/>
    <n v="1076"/>
    <x v="1"/>
    <n v="3"/>
    <n v="3"/>
    <x v="0"/>
    <n v="1"/>
    <n v="702"/>
    <n v="1"/>
    <x v="1"/>
    <n v="70"/>
    <n v="3"/>
    <n v="1"/>
    <x v="1"/>
    <n v="1"/>
    <x v="0"/>
    <n v="3348"/>
    <n v="3164"/>
    <n v="1"/>
    <s v="Y"/>
    <x v="0"/>
    <n v="11"/>
    <n v="3"/>
    <n v="1"/>
    <n v="80"/>
    <n v="0"/>
    <n v="10"/>
    <n v="3"/>
    <n v="3"/>
    <x v="1"/>
    <m/>
    <n v="8"/>
    <n v="9"/>
    <n v="7"/>
  </r>
  <r>
    <n v="35"/>
    <x v="1"/>
    <x v="2"/>
    <n v="727"/>
    <x v="1"/>
    <n v="3"/>
    <n v="3"/>
    <x v="0"/>
    <n v="1"/>
    <n v="704"/>
    <n v="3"/>
    <x v="1"/>
    <n v="41"/>
    <n v="2"/>
    <n v="1"/>
    <x v="2"/>
    <n v="3"/>
    <x v="1"/>
    <n v="1281"/>
    <n v="16900"/>
    <n v="1"/>
    <s v="Y"/>
    <x v="1"/>
    <n v="18"/>
    <n v="3"/>
    <n v="3"/>
    <n v="80"/>
    <n v="2"/>
    <n v="1"/>
    <n v="3"/>
    <n v="3"/>
    <x v="6"/>
    <m/>
    <n v="0"/>
    <n v="0"/>
    <n v="0"/>
  </r>
  <r>
    <n v="23"/>
    <x v="1"/>
    <x v="0"/>
    <n v="885"/>
    <x v="1"/>
    <n v="4"/>
    <n v="3"/>
    <x v="2"/>
    <n v="1"/>
    <n v="705"/>
    <n v="1"/>
    <x v="1"/>
    <n v="58"/>
    <n v="4"/>
    <n v="1"/>
    <x v="1"/>
    <n v="1"/>
    <x v="1"/>
    <n v="2819"/>
    <n v="8544"/>
    <n v="2"/>
    <s v="Y"/>
    <x v="1"/>
    <n v="16"/>
    <n v="3"/>
    <n v="1"/>
    <n v="80"/>
    <n v="1"/>
    <n v="5"/>
    <n v="3"/>
    <n v="4"/>
    <x v="11"/>
    <m/>
    <n v="2"/>
    <n v="0"/>
    <n v="2"/>
  </r>
  <r>
    <n v="25"/>
    <x v="1"/>
    <x v="0"/>
    <n v="810"/>
    <x v="0"/>
    <n v="8"/>
    <n v="3"/>
    <x v="0"/>
    <n v="1"/>
    <n v="707"/>
    <n v="4"/>
    <x v="1"/>
    <n v="57"/>
    <n v="4"/>
    <n v="2"/>
    <x v="0"/>
    <n v="2"/>
    <x v="1"/>
    <n v="4851"/>
    <n v="15678"/>
    <n v="0"/>
    <s v="Y"/>
    <x v="1"/>
    <n v="22"/>
    <n v="4"/>
    <n v="3"/>
    <n v="80"/>
    <n v="1"/>
    <n v="4"/>
    <n v="4"/>
    <n v="3"/>
    <x v="11"/>
    <m/>
    <n v="2"/>
    <n v="1"/>
    <n v="2"/>
  </r>
  <r>
    <n v="38"/>
    <x v="1"/>
    <x v="0"/>
    <n v="243"/>
    <x v="0"/>
    <n v="7"/>
    <n v="4"/>
    <x v="3"/>
    <n v="1"/>
    <n v="709"/>
    <n v="4"/>
    <x v="0"/>
    <n v="46"/>
    <n v="2"/>
    <n v="2"/>
    <x v="0"/>
    <n v="4"/>
    <x v="0"/>
    <n v="4028"/>
    <n v="7791"/>
    <n v="0"/>
    <s v="Y"/>
    <x v="1"/>
    <n v="20"/>
    <n v="4"/>
    <n v="1"/>
    <n v="80"/>
    <n v="0"/>
    <n v="8"/>
    <n v="2"/>
    <n v="3"/>
    <x v="5"/>
    <m/>
    <n v="7"/>
    <n v="0"/>
    <n v="5"/>
  </r>
  <r>
    <n v="29"/>
    <x v="1"/>
    <x v="1"/>
    <n v="806"/>
    <x v="1"/>
    <n v="1"/>
    <n v="4"/>
    <x v="0"/>
    <n v="1"/>
    <n v="710"/>
    <n v="2"/>
    <x v="1"/>
    <n v="76"/>
    <n v="1"/>
    <n v="1"/>
    <x v="1"/>
    <n v="4"/>
    <x v="2"/>
    <n v="2720"/>
    <n v="18959"/>
    <n v="1"/>
    <s v="Y"/>
    <x v="1"/>
    <n v="18"/>
    <n v="3"/>
    <n v="4"/>
    <n v="80"/>
    <n v="1"/>
    <n v="10"/>
    <n v="5"/>
    <n v="3"/>
    <x v="1"/>
    <m/>
    <n v="7"/>
    <n v="2"/>
    <n v="8"/>
  </r>
  <r>
    <n v="48"/>
    <x v="1"/>
    <x v="0"/>
    <n v="817"/>
    <x v="0"/>
    <n v="2"/>
    <n v="1"/>
    <x v="3"/>
    <n v="1"/>
    <n v="712"/>
    <n v="2"/>
    <x v="1"/>
    <n v="56"/>
    <n v="4"/>
    <n v="2"/>
    <x v="0"/>
    <n v="2"/>
    <x v="1"/>
    <n v="8120"/>
    <n v="18597"/>
    <n v="3"/>
    <s v="Y"/>
    <x v="1"/>
    <n v="12"/>
    <n v="3"/>
    <n v="4"/>
    <n v="80"/>
    <n v="0"/>
    <n v="12"/>
    <n v="3"/>
    <n v="3"/>
    <x v="4"/>
    <m/>
    <n v="2"/>
    <n v="2"/>
    <n v="2"/>
  </r>
  <r>
    <n v="27"/>
    <x v="1"/>
    <x v="1"/>
    <n v="1410"/>
    <x v="0"/>
    <n v="3"/>
    <n v="1"/>
    <x v="2"/>
    <n v="1"/>
    <n v="714"/>
    <n v="4"/>
    <x v="0"/>
    <n v="71"/>
    <n v="4"/>
    <n v="2"/>
    <x v="0"/>
    <n v="4"/>
    <x v="2"/>
    <n v="4647"/>
    <n v="16673"/>
    <n v="1"/>
    <s v="Y"/>
    <x v="0"/>
    <n v="20"/>
    <n v="4"/>
    <n v="2"/>
    <n v="80"/>
    <n v="2"/>
    <n v="6"/>
    <n v="3"/>
    <n v="3"/>
    <x v="0"/>
    <m/>
    <n v="5"/>
    <n v="0"/>
    <n v="4"/>
  </r>
  <r>
    <n v="37"/>
    <x v="1"/>
    <x v="0"/>
    <n v="1225"/>
    <x v="1"/>
    <n v="10"/>
    <n v="2"/>
    <x v="0"/>
    <n v="1"/>
    <n v="715"/>
    <n v="4"/>
    <x v="1"/>
    <n v="80"/>
    <n v="4"/>
    <n v="1"/>
    <x v="1"/>
    <n v="4"/>
    <x v="0"/>
    <n v="4680"/>
    <n v="15232"/>
    <n v="3"/>
    <s v="Y"/>
    <x v="1"/>
    <n v="17"/>
    <n v="3"/>
    <n v="1"/>
    <n v="80"/>
    <n v="0"/>
    <n v="4"/>
    <n v="2"/>
    <n v="3"/>
    <x v="6"/>
    <m/>
    <n v="0"/>
    <n v="0"/>
    <n v="0"/>
  </r>
  <r>
    <n v="50"/>
    <x v="1"/>
    <x v="0"/>
    <n v="1207"/>
    <x v="1"/>
    <n v="28"/>
    <n v="1"/>
    <x v="2"/>
    <n v="1"/>
    <n v="716"/>
    <n v="4"/>
    <x v="1"/>
    <n v="74"/>
    <n v="4"/>
    <n v="1"/>
    <x v="2"/>
    <n v="3"/>
    <x v="1"/>
    <n v="3221"/>
    <n v="3297"/>
    <n v="1"/>
    <s v="Y"/>
    <x v="0"/>
    <n v="11"/>
    <n v="3"/>
    <n v="3"/>
    <n v="80"/>
    <n v="3"/>
    <n v="20"/>
    <n v="3"/>
    <n v="3"/>
    <x v="23"/>
    <m/>
    <n v="8"/>
    <n v="3"/>
    <n v="8"/>
  </r>
  <r>
    <n v="34"/>
    <x v="1"/>
    <x v="0"/>
    <n v="1442"/>
    <x v="1"/>
    <n v="9"/>
    <n v="3"/>
    <x v="2"/>
    <n v="1"/>
    <n v="717"/>
    <n v="4"/>
    <x v="0"/>
    <n v="46"/>
    <n v="2"/>
    <n v="3"/>
    <x v="4"/>
    <n v="2"/>
    <x v="0"/>
    <n v="8621"/>
    <n v="17654"/>
    <n v="1"/>
    <s v="Y"/>
    <x v="1"/>
    <n v="14"/>
    <n v="3"/>
    <n v="2"/>
    <n v="80"/>
    <n v="0"/>
    <n v="9"/>
    <n v="3"/>
    <n v="4"/>
    <x v="3"/>
    <m/>
    <n v="7"/>
    <n v="7"/>
    <n v="7"/>
  </r>
  <r>
    <n v="24"/>
    <x v="0"/>
    <x v="0"/>
    <n v="693"/>
    <x v="0"/>
    <n v="3"/>
    <n v="2"/>
    <x v="0"/>
    <n v="1"/>
    <n v="720"/>
    <n v="1"/>
    <x v="0"/>
    <n v="65"/>
    <n v="3"/>
    <n v="2"/>
    <x v="0"/>
    <n v="3"/>
    <x v="0"/>
    <n v="4577"/>
    <n v="24785"/>
    <n v="9"/>
    <s v="Y"/>
    <x v="1"/>
    <n v="14"/>
    <n v="3"/>
    <n v="1"/>
    <n v="80"/>
    <n v="0"/>
    <n v="4"/>
    <n v="3"/>
    <n v="3"/>
    <x v="4"/>
    <m/>
    <n v="2"/>
    <n v="2"/>
    <n v="0"/>
  </r>
  <r>
    <n v="39"/>
    <x v="1"/>
    <x v="0"/>
    <n v="408"/>
    <x v="1"/>
    <n v="2"/>
    <n v="4"/>
    <x v="4"/>
    <n v="1"/>
    <n v="721"/>
    <n v="4"/>
    <x v="0"/>
    <n v="80"/>
    <n v="2"/>
    <n v="2"/>
    <x v="4"/>
    <n v="3"/>
    <x v="0"/>
    <n v="4553"/>
    <n v="20978"/>
    <n v="1"/>
    <s v="Y"/>
    <x v="1"/>
    <n v="11"/>
    <n v="3"/>
    <n v="1"/>
    <n v="80"/>
    <n v="0"/>
    <n v="20"/>
    <n v="4"/>
    <n v="3"/>
    <x v="23"/>
    <m/>
    <n v="7"/>
    <n v="11"/>
    <n v="10"/>
  </r>
  <r>
    <n v="32"/>
    <x v="1"/>
    <x v="0"/>
    <n v="929"/>
    <x v="0"/>
    <n v="10"/>
    <n v="3"/>
    <x v="3"/>
    <n v="1"/>
    <n v="722"/>
    <n v="4"/>
    <x v="1"/>
    <n v="55"/>
    <n v="3"/>
    <n v="2"/>
    <x v="0"/>
    <n v="4"/>
    <x v="0"/>
    <n v="5396"/>
    <n v="21703"/>
    <n v="1"/>
    <s v="Y"/>
    <x v="1"/>
    <n v="12"/>
    <n v="3"/>
    <n v="4"/>
    <n v="80"/>
    <n v="0"/>
    <n v="10"/>
    <n v="2"/>
    <n v="2"/>
    <x v="1"/>
    <m/>
    <n v="7"/>
    <n v="0"/>
    <n v="8"/>
  </r>
  <r>
    <n v="50"/>
    <x v="0"/>
    <x v="1"/>
    <n v="562"/>
    <x v="0"/>
    <n v="8"/>
    <n v="2"/>
    <x v="4"/>
    <n v="1"/>
    <n v="723"/>
    <n v="2"/>
    <x v="1"/>
    <n v="50"/>
    <n v="3"/>
    <n v="2"/>
    <x v="0"/>
    <n v="3"/>
    <x v="1"/>
    <n v="6796"/>
    <n v="23452"/>
    <n v="3"/>
    <s v="Y"/>
    <x v="0"/>
    <n v="14"/>
    <n v="3"/>
    <n v="1"/>
    <n v="80"/>
    <n v="1"/>
    <n v="18"/>
    <n v="4"/>
    <n v="3"/>
    <x v="9"/>
    <m/>
    <n v="3"/>
    <n v="1"/>
    <n v="3"/>
  </r>
  <r>
    <n v="38"/>
    <x v="1"/>
    <x v="0"/>
    <n v="827"/>
    <x v="1"/>
    <n v="1"/>
    <n v="4"/>
    <x v="0"/>
    <n v="1"/>
    <n v="724"/>
    <n v="2"/>
    <x v="0"/>
    <n v="33"/>
    <n v="4"/>
    <n v="2"/>
    <x v="4"/>
    <n v="4"/>
    <x v="0"/>
    <n v="7625"/>
    <n v="19383"/>
    <n v="0"/>
    <s v="Y"/>
    <x v="1"/>
    <n v="13"/>
    <n v="3"/>
    <n v="3"/>
    <n v="80"/>
    <n v="0"/>
    <n v="10"/>
    <n v="4"/>
    <n v="2"/>
    <x v="7"/>
    <m/>
    <n v="7"/>
    <n v="1"/>
    <n v="8"/>
  </r>
  <r>
    <n v="27"/>
    <x v="1"/>
    <x v="0"/>
    <n v="608"/>
    <x v="1"/>
    <n v="1"/>
    <n v="2"/>
    <x v="0"/>
    <n v="1"/>
    <n v="725"/>
    <n v="3"/>
    <x v="0"/>
    <n v="68"/>
    <n v="3"/>
    <n v="3"/>
    <x v="3"/>
    <n v="1"/>
    <x v="1"/>
    <n v="7412"/>
    <n v="6009"/>
    <n v="1"/>
    <s v="Y"/>
    <x v="1"/>
    <n v="11"/>
    <n v="3"/>
    <n v="4"/>
    <n v="80"/>
    <n v="0"/>
    <n v="9"/>
    <n v="3"/>
    <n v="3"/>
    <x v="7"/>
    <m/>
    <n v="7"/>
    <n v="0"/>
    <n v="7"/>
  </r>
  <r>
    <n v="32"/>
    <x v="1"/>
    <x v="0"/>
    <n v="1018"/>
    <x v="1"/>
    <n v="3"/>
    <n v="2"/>
    <x v="0"/>
    <n v="1"/>
    <n v="727"/>
    <n v="3"/>
    <x v="0"/>
    <n v="39"/>
    <n v="3"/>
    <n v="3"/>
    <x v="7"/>
    <n v="4"/>
    <x v="0"/>
    <n v="11159"/>
    <n v="19373"/>
    <n v="3"/>
    <s v="Y"/>
    <x v="1"/>
    <n v="15"/>
    <n v="3"/>
    <n v="4"/>
    <n v="80"/>
    <n v="0"/>
    <n v="10"/>
    <n v="6"/>
    <n v="3"/>
    <x v="5"/>
    <m/>
    <n v="7"/>
    <n v="7"/>
    <n v="7"/>
  </r>
  <r>
    <n v="47"/>
    <x v="1"/>
    <x v="0"/>
    <n v="703"/>
    <x v="0"/>
    <n v="14"/>
    <n v="4"/>
    <x v="3"/>
    <n v="1"/>
    <n v="728"/>
    <n v="4"/>
    <x v="1"/>
    <n v="42"/>
    <n v="3"/>
    <n v="2"/>
    <x v="0"/>
    <n v="1"/>
    <x v="0"/>
    <n v="4960"/>
    <n v="11825"/>
    <n v="2"/>
    <s v="Y"/>
    <x v="1"/>
    <n v="12"/>
    <n v="3"/>
    <n v="4"/>
    <n v="80"/>
    <n v="0"/>
    <n v="20"/>
    <n v="2"/>
    <n v="3"/>
    <x v="5"/>
    <m/>
    <n v="7"/>
    <n v="1"/>
    <n v="7"/>
  </r>
  <r>
    <n v="40"/>
    <x v="1"/>
    <x v="1"/>
    <n v="580"/>
    <x v="0"/>
    <n v="5"/>
    <n v="4"/>
    <x v="0"/>
    <n v="1"/>
    <n v="729"/>
    <n v="4"/>
    <x v="1"/>
    <n v="48"/>
    <n v="2"/>
    <n v="3"/>
    <x v="0"/>
    <n v="1"/>
    <x v="1"/>
    <n v="10475"/>
    <n v="23772"/>
    <n v="5"/>
    <s v="Y"/>
    <x v="0"/>
    <n v="21"/>
    <n v="4"/>
    <n v="3"/>
    <n v="80"/>
    <n v="1"/>
    <n v="20"/>
    <n v="2"/>
    <n v="3"/>
    <x v="29"/>
    <m/>
    <n v="13"/>
    <n v="1"/>
    <n v="12"/>
  </r>
  <r>
    <n v="53"/>
    <x v="1"/>
    <x v="0"/>
    <n v="970"/>
    <x v="1"/>
    <n v="7"/>
    <n v="3"/>
    <x v="0"/>
    <n v="1"/>
    <n v="730"/>
    <n v="3"/>
    <x v="1"/>
    <n v="59"/>
    <n v="4"/>
    <n v="4"/>
    <x v="7"/>
    <n v="3"/>
    <x v="1"/>
    <n v="14814"/>
    <n v="13514"/>
    <n v="3"/>
    <s v="Y"/>
    <x v="1"/>
    <n v="19"/>
    <n v="3"/>
    <n v="3"/>
    <n v="80"/>
    <n v="0"/>
    <n v="32"/>
    <n v="3"/>
    <n v="3"/>
    <x v="8"/>
    <m/>
    <n v="1"/>
    <n v="1"/>
    <n v="3"/>
  </r>
  <r>
    <n v="41"/>
    <x v="1"/>
    <x v="0"/>
    <n v="427"/>
    <x v="2"/>
    <n v="10"/>
    <n v="4"/>
    <x v="5"/>
    <n v="1"/>
    <n v="731"/>
    <n v="2"/>
    <x v="1"/>
    <n v="73"/>
    <n v="2"/>
    <n v="5"/>
    <x v="5"/>
    <n v="4"/>
    <x v="2"/>
    <n v="19141"/>
    <n v="8861"/>
    <n v="3"/>
    <s v="Y"/>
    <x v="1"/>
    <n v="15"/>
    <n v="3"/>
    <n v="2"/>
    <n v="80"/>
    <n v="3"/>
    <n v="23"/>
    <n v="2"/>
    <n v="2"/>
    <x v="17"/>
    <m/>
    <n v="6"/>
    <n v="12"/>
    <n v="6"/>
  </r>
  <r>
    <n v="60"/>
    <x v="1"/>
    <x v="0"/>
    <n v="1179"/>
    <x v="0"/>
    <n v="16"/>
    <n v="4"/>
    <x v="3"/>
    <n v="1"/>
    <n v="732"/>
    <n v="1"/>
    <x v="1"/>
    <n v="84"/>
    <n v="3"/>
    <n v="2"/>
    <x v="0"/>
    <n v="1"/>
    <x v="0"/>
    <n v="5405"/>
    <n v="11924"/>
    <n v="8"/>
    <s v="Y"/>
    <x v="1"/>
    <n v="14"/>
    <n v="3"/>
    <n v="4"/>
    <n v="80"/>
    <n v="0"/>
    <n v="10"/>
    <n v="1"/>
    <n v="3"/>
    <x v="4"/>
    <m/>
    <n v="2"/>
    <n v="2"/>
    <n v="2"/>
  </r>
  <r>
    <n v="27"/>
    <x v="1"/>
    <x v="1"/>
    <n v="294"/>
    <x v="1"/>
    <n v="10"/>
    <n v="2"/>
    <x v="0"/>
    <n v="1"/>
    <n v="733"/>
    <n v="4"/>
    <x v="1"/>
    <n v="32"/>
    <n v="3"/>
    <n v="3"/>
    <x v="3"/>
    <n v="1"/>
    <x v="2"/>
    <n v="8793"/>
    <n v="4809"/>
    <n v="1"/>
    <s v="Y"/>
    <x v="1"/>
    <n v="21"/>
    <n v="4"/>
    <n v="3"/>
    <n v="80"/>
    <n v="2"/>
    <n v="9"/>
    <n v="4"/>
    <n v="2"/>
    <x v="7"/>
    <m/>
    <n v="7"/>
    <n v="1"/>
    <n v="7"/>
  </r>
  <r>
    <n v="41"/>
    <x v="1"/>
    <x v="0"/>
    <n v="314"/>
    <x v="2"/>
    <n v="1"/>
    <n v="3"/>
    <x v="5"/>
    <n v="1"/>
    <n v="734"/>
    <n v="4"/>
    <x v="1"/>
    <n v="59"/>
    <n v="2"/>
    <n v="5"/>
    <x v="5"/>
    <n v="3"/>
    <x v="1"/>
    <n v="19189"/>
    <n v="19562"/>
    <n v="1"/>
    <s v="Y"/>
    <x v="1"/>
    <n v="12"/>
    <n v="3"/>
    <n v="2"/>
    <n v="80"/>
    <n v="1"/>
    <n v="22"/>
    <n v="3"/>
    <n v="3"/>
    <x v="14"/>
    <m/>
    <n v="7"/>
    <n v="2"/>
    <n v="10"/>
  </r>
  <r>
    <n v="50"/>
    <x v="1"/>
    <x v="0"/>
    <n v="316"/>
    <x v="0"/>
    <n v="8"/>
    <n v="4"/>
    <x v="3"/>
    <n v="1"/>
    <n v="738"/>
    <n v="4"/>
    <x v="1"/>
    <n v="54"/>
    <n v="3"/>
    <n v="1"/>
    <x v="6"/>
    <n v="2"/>
    <x v="1"/>
    <n v="3875"/>
    <n v="9983"/>
    <n v="7"/>
    <s v="Y"/>
    <x v="1"/>
    <n v="15"/>
    <n v="3"/>
    <n v="4"/>
    <n v="80"/>
    <n v="1"/>
    <n v="4"/>
    <n v="2"/>
    <n v="3"/>
    <x v="4"/>
    <m/>
    <n v="2"/>
    <n v="2"/>
    <n v="2"/>
  </r>
  <r>
    <n v="28"/>
    <x v="0"/>
    <x v="0"/>
    <n v="654"/>
    <x v="1"/>
    <n v="1"/>
    <n v="2"/>
    <x v="0"/>
    <n v="1"/>
    <n v="741"/>
    <n v="1"/>
    <x v="0"/>
    <n v="67"/>
    <n v="1"/>
    <n v="1"/>
    <x v="1"/>
    <n v="2"/>
    <x v="0"/>
    <n v="2216"/>
    <n v="3872"/>
    <n v="7"/>
    <s v="Y"/>
    <x v="0"/>
    <n v="13"/>
    <n v="3"/>
    <n v="4"/>
    <n v="80"/>
    <n v="0"/>
    <n v="10"/>
    <n v="4"/>
    <n v="3"/>
    <x v="5"/>
    <m/>
    <n v="7"/>
    <n v="3"/>
    <n v="7"/>
  </r>
  <r>
    <n v="36"/>
    <x v="1"/>
    <x v="2"/>
    <n v="427"/>
    <x v="1"/>
    <n v="8"/>
    <n v="3"/>
    <x v="0"/>
    <n v="1"/>
    <n v="742"/>
    <n v="1"/>
    <x v="0"/>
    <n v="63"/>
    <n v="4"/>
    <n v="3"/>
    <x v="7"/>
    <n v="1"/>
    <x v="1"/>
    <n v="11713"/>
    <n v="20335"/>
    <n v="9"/>
    <s v="Y"/>
    <x v="1"/>
    <n v="14"/>
    <n v="3"/>
    <n v="1"/>
    <n v="80"/>
    <n v="1"/>
    <n v="10"/>
    <n v="2"/>
    <n v="3"/>
    <x v="3"/>
    <m/>
    <n v="7"/>
    <n v="0"/>
    <n v="5"/>
  </r>
  <r>
    <n v="38"/>
    <x v="1"/>
    <x v="0"/>
    <n v="168"/>
    <x v="1"/>
    <n v="1"/>
    <n v="3"/>
    <x v="0"/>
    <n v="1"/>
    <n v="743"/>
    <n v="3"/>
    <x v="0"/>
    <n v="81"/>
    <n v="3"/>
    <n v="3"/>
    <x v="3"/>
    <n v="3"/>
    <x v="0"/>
    <n v="7861"/>
    <n v="15397"/>
    <n v="4"/>
    <s v="Y"/>
    <x v="0"/>
    <n v="14"/>
    <n v="3"/>
    <n v="4"/>
    <n v="80"/>
    <n v="0"/>
    <n v="10"/>
    <n v="4"/>
    <n v="4"/>
    <x v="6"/>
    <m/>
    <n v="0"/>
    <n v="0"/>
    <n v="0"/>
  </r>
  <r>
    <n v="44"/>
    <x v="1"/>
    <x v="2"/>
    <n v="381"/>
    <x v="1"/>
    <n v="24"/>
    <n v="3"/>
    <x v="2"/>
    <n v="1"/>
    <n v="744"/>
    <n v="1"/>
    <x v="1"/>
    <n v="49"/>
    <n v="1"/>
    <n v="1"/>
    <x v="2"/>
    <n v="3"/>
    <x v="0"/>
    <n v="3708"/>
    <n v="2104"/>
    <n v="2"/>
    <s v="Y"/>
    <x v="1"/>
    <n v="14"/>
    <n v="3"/>
    <n v="3"/>
    <n v="80"/>
    <n v="0"/>
    <n v="9"/>
    <n v="5"/>
    <n v="3"/>
    <x v="8"/>
    <m/>
    <n v="2"/>
    <n v="1"/>
    <n v="4"/>
  </r>
  <r>
    <n v="47"/>
    <x v="1"/>
    <x v="1"/>
    <n v="217"/>
    <x v="0"/>
    <n v="3"/>
    <n v="3"/>
    <x v="2"/>
    <n v="1"/>
    <n v="746"/>
    <n v="4"/>
    <x v="0"/>
    <n v="49"/>
    <n v="3"/>
    <n v="4"/>
    <x v="0"/>
    <n v="3"/>
    <x v="2"/>
    <n v="13770"/>
    <n v="10225"/>
    <n v="9"/>
    <s v="Y"/>
    <x v="0"/>
    <n v="12"/>
    <n v="3"/>
    <n v="4"/>
    <n v="80"/>
    <n v="2"/>
    <n v="28"/>
    <n v="2"/>
    <n v="2"/>
    <x v="14"/>
    <m/>
    <n v="2"/>
    <n v="11"/>
    <n v="13"/>
  </r>
  <r>
    <n v="30"/>
    <x v="1"/>
    <x v="0"/>
    <n v="501"/>
    <x v="0"/>
    <n v="27"/>
    <n v="5"/>
    <x v="3"/>
    <n v="1"/>
    <n v="747"/>
    <n v="3"/>
    <x v="1"/>
    <n v="99"/>
    <n v="3"/>
    <n v="2"/>
    <x v="0"/>
    <n v="4"/>
    <x v="2"/>
    <n v="5304"/>
    <n v="25275"/>
    <n v="7"/>
    <s v="Y"/>
    <x v="1"/>
    <n v="23"/>
    <n v="4"/>
    <n v="4"/>
    <n v="80"/>
    <n v="1"/>
    <n v="10"/>
    <n v="2"/>
    <n v="2"/>
    <x v="3"/>
    <m/>
    <n v="7"/>
    <n v="7"/>
    <n v="7"/>
  </r>
  <r>
    <n v="29"/>
    <x v="1"/>
    <x v="0"/>
    <n v="1396"/>
    <x v="0"/>
    <n v="10"/>
    <n v="3"/>
    <x v="0"/>
    <n v="1"/>
    <n v="749"/>
    <n v="3"/>
    <x v="1"/>
    <n v="99"/>
    <n v="3"/>
    <n v="1"/>
    <x v="6"/>
    <n v="3"/>
    <x v="0"/>
    <n v="2642"/>
    <n v="2755"/>
    <n v="1"/>
    <s v="Y"/>
    <x v="1"/>
    <n v="11"/>
    <n v="3"/>
    <n v="3"/>
    <n v="80"/>
    <n v="0"/>
    <n v="1"/>
    <n v="6"/>
    <n v="3"/>
    <x v="6"/>
    <m/>
    <n v="0"/>
    <n v="0"/>
    <n v="0"/>
  </r>
  <r>
    <n v="42"/>
    <x v="0"/>
    <x v="1"/>
    <n v="933"/>
    <x v="1"/>
    <n v="19"/>
    <n v="3"/>
    <x v="2"/>
    <n v="1"/>
    <n v="752"/>
    <n v="3"/>
    <x v="1"/>
    <n v="57"/>
    <n v="4"/>
    <n v="1"/>
    <x v="1"/>
    <n v="3"/>
    <x v="2"/>
    <n v="2759"/>
    <n v="20366"/>
    <n v="6"/>
    <s v="Y"/>
    <x v="0"/>
    <n v="12"/>
    <n v="3"/>
    <n v="4"/>
    <n v="80"/>
    <n v="0"/>
    <n v="7"/>
    <n v="2"/>
    <n v="3"/>
    <x v="4"/>
    <m/>
    <n v="2"/>
    <n v="2"/>
    <n v="2"/>
  </r>
  <r>
    <n v="43"/>
    <x v="1"/>
    <x v="1"/>
    <n v="775"/>
    <x v="0"/>
    <n v="15"/>
    <n v="3"/>
    <x v="0"/>
    <n v="1"/>
    <n v="754"/>
    <n v="4"/>
    <x v="1"/>
    <n v="47"/>
    <n v="2"/>
    <n v="2"/>
    <x v="0"/>
    <n v="4"/>
    <x v="1"/>
    <n v="6804"/>
    <n v="23683"/>
    <n v="3"/>
    <s v="Y"/>
    <x v="1"/>
    <n v="18"/>
    <n v="3"/>
    <n v="3"/>
    <n v="80"/>
    <n v="1"/>
    <n v="7"/>
    <n v="5"/>
    <n v="3"/>
    <x v="4"/>
    <m/>
    <n v="2"/>
    <n v="2"/>
    <n v="2"/>
  </r>
  <r>
    <n v="34"/>
    <x v="1"/>
    <x v="0"/>
    <n v="970"/>
    <x v="1"/>
    <n v="8"/>
    <n v="2"/>
    <x v="2"/>
    <n v="1"/>
    <n v="757"/>
    <n v="2"/>
    <x v="0"/>
    <n v="96"/>
    <n v="3"/>
    <n v="2"/>
    <x v="4"/>
    <n v="3"/>
    <x v="0"/>
    <n v="6142"/>
    <n v="7360"/>
    <n v="3"/>
    <s v="Y"/>
    <x v="1"/>
    <n v="11"/>
    <n v="3"/>
    <n v="4"/>
    <n v="80"/>
    <n v="0"/>
    <n v="10"/>
    <n v="2"/>
    <n v="3"/>
    <x v="8"/>
    <m/>
    <n v="1"/>
    <n v="4"/>
    <n v="3"/>
  </r>
  <r>
    <n v="23"/>
    <x v="1"/>
    <x v="0"/>
    <n v="650"/>
    <x v="1"/>
    <n v="9"/>
    <n v="1"/>
    <x v="2"/>
    <n v="1"/>
    <n v="758"/>
    <n v="2"/>
    <x v="1"/>
    <n v="37"/>
    <n v="3"/>
    <n v="1"/>
    <x v="2"/>
    <n v="1"/>
    <x v="1"/>
    <n v="2500"/>
    <n v="4344"/>
    <n v="1"/>
    <s v="Y"/>
    <x v="1"/>
    <n v="14"/>
    <n v="3"/>
    <n v="4"/>
    <n v="80"/>
    <n v="1"/>
    <n v="5"/>
    <n v="2"/>
    <n v="4"/>
    <x v="9"/>
    <m/>
    <n v="3"/>
    <n v="0"/>
    <n v="2"/>
  </r>
  <r>
    <n v="39"/>
    <x v="1"/>
    <x v="0"/>
    <n v="141"/>
    <x v="2"/>
    <n v="3"/>
    <n v="3"/>
    <x v="5"/>
    <n v="1"/>
    <n v="760"/>
    <n v="3"/>
    <x v="0"/>
    <n v="44"/>
    <n v="4"/>
    <n v="2"/>
    <x v="8"/>
    <n v="2"/>
    <x v="1"/>
    <n v="6389"/>
    <n v="18767"/>
    <n v="9"/>
    <s v="Y"/>
    <x v="1"/>
    <n v="15"/>
    <n v="3"/>
    <n v="3"/>
    <n v="80"/>
    <n v="1"/>
    <n v="12"/>
    <n v="3"/>
    <n v="1"/>
    <x v="3"/>
    <m/>
    <n v="3"/>
    <n v="3"/>
    <n v="6"/>
  </r>
  <r>
    <n v="56"/>
    <x v="1"/>
    <x v="0"/>
    <n v="832"/>
    <x v="1"/>
    <n v="9"/>
    <n v="3"/>
    <x v="2"/>
    <n v="1"/>
    <n v="762"/>
    <n v="3"/>
    <x v="1"/>
    <n v="81"/>
    <n v="3"/>
    <n v="4"/>
    <x v="4"/>
    <n v="4"/>
    <x v="1"/>
    <n v="11103"/>
    <n v="20420"/>
    <n v="7"/>
    <s v="Y"/>
    <x v="1"/>
    <n v="11"/>
    <n v="3"/>
    <n v="3"/>
    <n v="80"/>
    <n v="0"/>
    <n v="30"/>
    <n v="1"/>
    <n v="2"/>
    <x v="1"/>
    <m/>
    <n v="7"/>
    <n v="1"/>
    <n v="1"/>
  </r>
  <r>
    <n v="40"/>
    <x v="1"/>
    <x v="0"/>
    <n v="804"/>
    <x v="1"/>
    <n v="2"/>
    <n v="1"/>
    <x v="2"/>
    <n v="1"/>
    <n v="763"/>
    <n v="4"/>
    <x v="0"/>
    <n v="86"/>
    <n v="2"/>
    <n v="1"/>
    <x v="1"/>
    <n v="4"/>
    <x v="0"/>
    <n v="2342"/>
    <n v="22929"/>
    <n v="0"/>
    <s v="Y"/>
    <x v="0"/>
    <n v="20"/>
    <n v="4"/>
    <n v="4"/>
    <n v="80"/>
    <n v="0"/>
    <n v="5"/>
    <n v="2"/>
    <n v="2"/>
    <x v="9"/>
    <m/>
    <n v="2"/>
    <n v="2"/>
    <n v="3"/>
  </r>
  <r>
    <n v="27"/>
    <x v="1"/>
    <x v="0"/>
    <n v="975"/>
    <x v="1"/>
    <n v="7"/>
    <n v="3"/>
    <x v="2"/>
    <n v="1"/>
    <n v="764"/>
    <n v="4"/>
    <x v="0"/>
    <n v="55"/>
    <n v="2"/>
    <n v="2"/>
    <x v="4"/>
    <n v="1"/>
    <x v="0"/>
    <n v="6811"/>
    <n v="23398"/>
    <n v="8"/>
    <s v="Y"/>
    <x v="1"/>
    <n v="19"/>
    <n v="3"/>
    <n v="1"/>
    <n v="80"/>
    <n v="0"/>
    <n v="9"/>
    <n v="2"/>
    <n v="1"/>
    <x v="5"/>
    <m/>
    <n v="6"/>
    <n v="0"/>
    <n v="7"/>
  </r>
  <r>
    <n v="29"/>
    <x v="1"/>
    <x v="0"/>
    <n v="1090"/>
    <x v="0"/>
    <n v="10"/>
    <n v="3"/>
    <x v="3"/>
    <n v="1"/>
    <n v="766"/>
    <n v="4"/>
    <x v="1"/>
    <n v="83"/>
    <n v="3"/>
    <n v="1"/>
    <x v="6"/>
    <n v="2"/>
    <x v="2"/>
    <n v="2297"/>
    <n v="17967"/>
    <n v="1"/>
    <s v="Y"/>
    <x v="1"/>
    <n v="14"/>
    <n v="3"/>
    <n v="4"/>
    <n v="80"/>
    <n v="2"/>
    <n v="2"/>
    <n v="2"/>
    <n v="3"/>
    <x v="4"/>
    <m/>
    <n v="2"/>
    <n v="2"/>
    <n v="2"/>
  </r>
  <r>
    <n v="53"/>
    <x v="1"/>
    <x v="0"/>
    <n v="346"/>
    <x v="1"/>
    <n v="6"/>
    <n v="3"/>
    <x v="0"/>
    <n v="1"/>
    <n v="769"/>
    <n v="4"/>
    <x v="1"/>
    <n v="86"/>
    <n v="3"/>
    <n v="2"/>
    <x v="2"/>
    <n v="4"/>
    <x v="0"/>
    <n v="2450"/>
    <n v="10919"/>
    <n v="2"/>
    <s v="Y"/>
    <x v="1"/>
    <n v="17"/>
    <n v="3"/>
    <n v="4"/>
    <n v="80"/>
    <n v="0"/>
    <n v="19"/>
    <n v="4"/>
    <n v="3"/>
    <x v="4"/>
    <m/>
    <n v="2"/>
    <n v="2"/>
    <n v="2"/>
  </r>
  <r>
    <n v="35"/>
    <x v="1"/>
    <x v="2"/>
    <n v="1225"/>
    <x v="1"/>
    <n v="2"/>
    <n v="4"/>
    <x v="0"/>
    <n v="1"/>
    <n v="771"/>
    <n v="4"/>
    <x v="0"/>
    <n v="61"/>
    <n v="3"/>
    <n v="2"/>
    <x v="4"/>
    <n v="1"/>
    <x v="2"/>
    <n v="5093"/>
    <n v="4761"/>
    <n v="2"/>
    <s v="Y"/>
    <x v="1"/>
    <n v="11"/>
    <n v="3"/>
    <n v="1"/>
    <n v="80"/>
    <n v="1"/>
    <n v="16"/>
    <n v="2"/>
    <n v="4"/>
    <x v="6"/>
    <m/>
    <n v="0"/>
    <n v="0"/>
    <n v="0"/>
  </r>
  <r>
    <n v="32"/>
    <x v="1"/>
    <x v="1"/>
    <n v="430"/>
    <x v="1"/>
    <n v="24"/>
    <n v="4"/>
    <x v="0"/>
    <n v="1"/>
    <n v="772"/>
    <n v="1"/>
    <x v="1"/>
    <n v="80"/>
    <n v="3"/>
    <n v="2"/>
    <x v="2"/>
    <n v="4"/>
    <x v="1"/>
    <n v="5309"/>
    <n v="21146"/>
    <n v="1"/>
    <s v="Y"/>
    <x v="1"/>
    <n v="15"/>
    <n v="3"/>
    <n v="4"/>
    <n v="80"/>
    <n v="2"/>
    <n v="10"/>
    <n v="2"/>
    <n v="3"/>
    <x v="1"/>
    <m/>
    <n v="8"/>
    <n v="4"/>
    <n v="7"/>
  </r>
  <r>
    <n v="38"/>
    <x v="1"/>
    <x v="0"/>
    <n v="268"/>
    <x v="1"/>
    <n v="2"/>
    <n v="5"/>
    <x v="2"/>
    <n v="1"/>
    <n v="773"/>
    <n v="4"/>
    <x v="1"/>
    <n v="92"/>
    <n v="3"/>
    <n v="1"/>
    <x v="1"/>
    <n v="3"/>
    <x v="1"/>
    <n v="3057"/>
    <n v="20471"/>
    <n v="6"/>
    <s v="Y"/>
    <x v="0"/>
    <n v="13"/>
    <n v="3"/>
    <n v="2"/>
    <n v="80"/>
    <n v="1"/>
    <n v="6"/>
    <n v="0"/>
    <n v="1"/>
    <x v="6"/>
    <m/>
    <n v="0"/>
    <n v="0"/>
    <n v="1"/>
  </r>
  <r>
    <n v="34"/>
    <x v="1"/>
    <x v="0"/>
    <n v="167"/>
    <x v="1"/>
    <n v="8"/>
    <n v="5"/>
    <x v="0"/>
    <n v="1"/>
    <n v="775"/>
    <n v="2"/>
    <x v="0"/>
    <n v="32"/>
    <n v="3"/>
    <n v="2"/>
    <x v="3"/>
    <n v="1"/>
    <x v="2"/>
    <n v="5121"/>
    <n v="4187"/>
    <n v="3"/>
    <s v="Y"/>
    <x v="1"/>
    <n v="14"/>
    <n v="3"/>
    <n v="3"/>
    <n v="80"/>
    <n v="1"/>
    <n v="7"/>
    <n v="3"/>
    <n v="3"/>
    <x v="2"/>
    <m/>
    <n v="0"/>
    <n v="0"/>
    <n v="0"/>
  </r>
  <r>
    <n v="52"/>
    <x v="1"/>
    <x v="0"/>
    <n v="621"/>
    <x v="0"/>
    <n v="3"/>
    <n v="4"/>
    <x v="3"/>
    <n v="1"/>
    <n v="776"/>
    <n v="3"/>
    <x v="1"/>
    <n v="31"/>
    <n v="2"/>
    <n v="4"/>
    <x v="5"/>
    <n v="1"/>
    <x v="1"/>
    <n v="16856"/>
    <n v="10084"/>
    <n v="1"/>
    <s v="Y"/>
    <x v="1"/>
    <n v="11"/>
    <n v="3"/>
    <n v="1"/>
    <n v="80"/>
    <n v="0"/>
    <n v="34"/>
    <n v="3"/>
    <n v="4"/>
    <x v="33"/>
    <m/>
    <n v="6"/>
    <n v="1"/>
    <n v="16"/>
  </r>
  <r>
    <n v="33"/>
    <x v="0"/>
    <x v="0"/>
    <n v="527"/>
    <x v="1"/>
    <n v="1"/>
    <n v="4"/>
    <x v="1"/>
    <n v="1"/>
    <n v="780"/>
    <n v="4"/>
    <x v="1"/>
    <n v="63"/>
    <n v="3"/>
    <n v="1"/>
    <x v="1"/>
    <n v="4"/>
    <x v="0"/>
    <n v="2686"/>
    <n v="5207"/>
    <n v="1"/>
    <s v="Y"/>
    <x v="0"/>
    <n v="13"/>
    <n v="3"/>
    <n v="3"/>
    <n v="80"/>
    <n v="0"/>
    <n v="10"/>
    <n v="2"/>
    <n v="2"/>
    <x v="1"/>
    <m/>
    <n v="9"/>
    <n v="7"/>
    <n v="8"/>
  </r>
  <r>
    <n v="25"/>
    <x v="1"/>
    <x v="0"/>
    <n v="883"/>
    <x v="0"/>
    <n v="26"/>
    <n v="1"/>
    <x v="2"/>
    <n v="1"/>
    <n v="781"/>
    <n v="3"/>
    <x v="0"/>
    <n v="32"/>
    <n v="3"/>
    <n v="2"/>
    <x v="0"/>
    <n v="4"/>
    <x v="0"/>
    <n v="6180"/>
    <n v="22807"/>
    <n v="1"/>
    <s v="Y"/>
    <x v="1"/>
    <n v="23"/>
    <n v="4"/>
    <n v="2"/>
    <n v="80"/>
    <n v="0"/>
    <n v="6"/>
    <n v="5"/>
    <n v="2"/>
    <x v="0"/>
    <m/>
    <n v="5"/>
    <n v="1"/>
    <n v="4"/>
  </r>
  <r>
    <n v="45"/>
    <x v="1"/>
    <x v="0"/>
    <n v="954"/>
    <x v="0"/>
    <n v="2"/>
    <n v="2"/>
    <x v="4"/>
    <n v="1"/>
    <n v="783"/>
    <n v="2"/>
    <x v="1"/>
    <n v="46"/>
    <n v="1"/>
    <n v="2"/>
    <x v="6"/>
    <n v="3"/>
    <x v="0"/>
    <n v="6632"/>
    <n v="12388"/>
    <n v="0"/>
    <s v="Y"/>
    <x v="1"/>
    <n v="13"/>
    <n v="3"/>
    <n v="1"/>
    <n v="80"/>
    <n v="0"/>
    <n v="9"/>
    <n v="3"/>
    <n v="3"/>
    <x v="3"/>
    <m/>
    <n v="7"/>
    <n v="3"/>
    <n v="1"/>
  </r>
  <r>
    <n v="23"/>
    <x v="1"/>
    <x v="0"/>
    <n v="310"/>
    <x v="1"/>
    <n v="10"/>
    <n v="1"/>
    <x v="2"/>
    <n v="1"/>
    <n v="784"/>
    <n v="1"/>
    <x v="1"/>
    <n v="79"/>
    <n v="4"/>
    <n v="1"/>
    <x v="1"/>
    <n v="3"/>
    <x v="0"/>
    <n v="3505"/>
    <n v="19630"/>
    <n v="1"/>
    <s v="Y"/>
    <x v="1"/>
    <n v="18"/>
    <n v="3"/>
    <n v="4"/>
    <n v="80"/>
    <n v="0"/>
    <n v="2"/>
    <n v="3"/>
    <n v="3"/>
    <x v="4"/>
    <m/>
    <n v="2"/>
    <n v="0"/>
    <n v="2"/>
  </r>
  <r>
    <n v="47"/>
    <x v="0"/>
    <x v="1"/>
    <n v="719"/>
    <x v="0"/>
    <n v="27"/>
    <n v="2"/>
    <x v="0"/>
    <n v="1"/>
    <n v="785"/>
    <n v="2"/>
    <x v="0"/>
    <n v="77"/>
    <n v="4"/>
    <n v="2"/>
    <x v="0"/>
    <n v="3"/>
    <x v="0"/>
    <n v="6397"/>
    <n v="10339"/>
    <n v="4"/>
    <s v="Y"/>
    <x v="0"/>
    <n v="12"/>
    <n v="3"/>
    <n v="4"/>
    <n v="80"/>
    <n v="0"/>
    <n v="8"/>
    <n v="2"/>
    <n v="3"/>
    <x v="8"/>
    <m/>
    <n v="4"/>
    <n v="1"/>
    <n v="3"/>
  </r>
  <r>
    <n v="34"/>
    <x v="1"/>
    <x v="0"/>
    <n v="304"/>
    <x v="0"/>
    <n v="2"/>
    <n v="3"/>
    <x v="1"/>
    <n v="1"/>
    <n v="786"/>
    <n v="4"/>
    <x v="1"/>
    <n v="60"/>
    <n v="3"/>
    <n v="2"/>
    <x v="0"/>
    <n v="4"/>
    <x v="0"/>
    <n v="6274"/>
    <n v="18686"/>
    <n v="1"/>
    <s v="Y"/>
    <x v="1"/>
    <n v="22"/>
    <n v="4"/>
    <n v="3"/>
    <n v="80"/>
    <n v="0"/>
    <n v="6"/>
    <n v="5"/>
    <n v="3"/>
    <x v="0"/>
    <m/>
    <n v="5"/>
    <n v="1"/>
    <n v="4"/>
  </r>
  <r>
    <n v="55"/>
    <x v="0"/>
    <x v="0"/>
    <n v="725"/>
    <x v="1"/>
    <n v="2"/>
    <n v="3"/>
    <x v="2"/>
    <n v="1"/>
    <n v="787"/>
    <n v="4"/>
    <x v="1"/>
    <n v="78"/>
    <n v="3"/>
    <n v="5"/>
    <x v="5"/>
    <n v="1"/>
    <x v="1"/>
    <n v="19859"/>
    <n v="21199"/>
    <n v="5"/>
    <s v="Y"/>
    <x v="0"/>
    <n v="13"/>
    <n v="3"/>
    <n v="4"/>
    <n v="80"/>
    <n v="1"/>
    <n v="24"/>
    <n v="2"/>
    <n v="3"/>
    <x v="8"/>
    <m/>
    <n v="2"/>
    <n v="1"/>
    <n v="4"/>
  </r>
  <r>
    <n v="36"/>
    <x v="1"/>
    <x v="2"/>
    <n v="1434"/>
    <x v="0"/>
    <n v="8"/>
    <n v="4"/>
    <x v="0"/>
    <n v="1"/>
    <n v="789"/>
    <n v="1"/>
    <x v="1"/>
    <n v="76"/>
    <n v="2"/>
    <n v="3"/>
    <x v="0"/>
    <n v="1"/>
    <x v="0"/>
    <n v="7587"/>
    <n v="14229"/>
    <n v="1"/>
    <s v="Y"/>
    <x v="1"/>
    <n v="15"/>
    <n v="3"/>
    <n v="2"/>
    <n v="80"/>
    <n v="0"/>
    <n v="10"/>
    <n v="1"/>
    <n v="3"/>
    <x v="1"/>
    <m/>
    <n v="7"/>
    <n v="0"/>
    <n v="9"/>
  </r>
  <r>
    <n v="52"/>
    <x v="1"/>
    <x v="2"/>
    <n v="715"/>
    <x v="1"/>
    <n v="19"/>
    <n v="4"/>
    <x v="2"/>
    <n v="1"/>
    <n v="791"/>
    <n v="4"/>
    <x v="1"/>
    <n v="41"/>
    <n v="3"/>
    <n v="1"/>
    <x v="1"/>
    <n v="4"/>
    <x v="1"/>
    <n v="4258"/>
    <n v="26589"/>
    <n v="0"/>
    <s v="Y"/>
    <x v="1"/>
    <n v="18"/>
    <n v="3"/>
    <n v="1"/>
    <n v="80"/>
    <n v="1"/>
    <n v="5"/>
    <n v="3"/>
    <n v="3"/>
    <x v="9"/>
    <m/>
    <n v="3"/>
    <n v="1"/>
    <n v="2"/>
  </r>
  <r>
    <n v="26"/>
    <x v="1"/>
    <x v="1"/>
    <n v="575"/>
    <x v="1"/>
    <n v="1"/>
    <n v="2"/>
    <x v="0"/>
    <n v="1"/>
    <n v="792"/>
    <n v="1"/>
    <x v="0"/>
    <n v="71"/>
    <n v="1"/>
    <n v="1"/>
    <x v="2"/>
    <n v="4"/>
    <x v="2"/>
    <n v="4364"/>
    <n v="5288"/>
    <n v="3"/>
    <s v="Y"/>
    <x v="1"/>
    <n v="14"/>
    <n v="3"/>
    <n v="1"/>
    <n v="80"/>
    <n v="1"/>
    <n v="5"/>
    <n v="2"/>
    <n v="3"/>
    <x v="4"/>
    <m/>
    <n v="2"/>
    <n v="2"/>
    <n v="0"/>
  </r>
  <r>
    <n v="29"/>
    <x v="1"/>
    <x v="0"/>
    <n v="657"/>
    <x v="1"/>
    <n v="27"/>
    <n v="3"/>
    <x v="2"/>
    <n v="1"/>
    <n v="793"/>
    <n v="2"/>
    <x v="0"/>
    <n v="66"/>
    <n v="3"/>
    <n v="2"/>
    <x v="4"/>
    <n v="3"/>
    <x v="1"/>
    <n v="4335"/>
    <n v="25549"/>
    <n v="4"/>
    <s v="Y"/>
    <x v="1"/>
    <n v="12"/>
    <n v="3"/>
    <n v="1"/>
    <n v="80"/>
    <n v="1"/>
    <n v="11"/>
    <n v="3"/>
    <n v="2"/>
    <x v="3"/>
    <m/>
    <n v="7"/>
    <n v="1"/>
    <n v="1"/>
  </r>
  <r>
    <n v="26"/>
    <x v="0"/>
    <x v="0"/>
    <n v="1146"/>
    <x v="0"/>
    <n v="8"/>
    <n v="3"/>
    <x v="4"/>
    <n v="1"/>
    <n v="796"/>
    <n v="4"/>
    <x v="1"/>
    <n v="38"/>
    <n v="2"/>
    <n v="2"/>
    <x v="0"/>
    <n v="1"/>
    <x v="0"/>
    <n v="5326"/>
    <n v="3064"/>
    <n v="6"/>
    <s v="Y"/>
    <x v="1"/>
    <n v="17"/>
    <n v="3"/>
    <n v="3"/>
    <n v="80"/>
    <n v="0"/>
    <n v="6"/>
    <n v="2"/>
    <n v="2"/>
    <x v="9"/>
    <m/>
    <n v="3"/>
    <n v="1"/>
    <n v="2"/>
  </r>
  <r>
    <n v="34"/>
    <x v="1"/>
    <x v="0"/>
    <n v="182"/>
    <x v="1"/>
    <n v="1"/>
    <n v="4"/>
    <x v="0"/>
    <n v="1"/>
    <n v="797"/>
    <n v="2"/>
    <x v="0"/>
    <n v="72"/>
    <n v="4"/>
    <n v="1"/>
    <x v="1"/>
    <n v="4"/>
    <x v="0"/>
    <n v="3280"/>
    <n v="13551"/>
    <n v="2"/>
    <s v="Y"/>
    <x v="1"/>
    <n v="16"/>
    <n v="3"/>
    <n v="3"/>
    <n v="80"/>
    <n v="0"/>
    <n v="10"/>
    <n v="2"/>
    <n v="3"/>
    <x v="9"/>
    <m/>
    <n v="2"/>
    <n v="1"/>
    <n v="3"/>
  </r>
  <r>
    <n v="54"/>
    <x v="1"/>
    <x v="0"/>
    <n v="376"/>
    <x v="1"/>
    <n v="19"/>
    <n v="4"/>
    <x v="2"/>
    <n v="1"/>
    <n v="799"/>
    <n v="4"/>
    <x v="0"/>
    <n v="95"/>
    <n v="3"/>
    <n v="2"/>
    <x v="3"/>
    <n v="1"/>
    <x v="2"/>
    <n v="5485"/>
    <n v="22670"/>
    <n v="9"/>
    <s v="Y"/>
    <x v="0"/>
    <n v="11"/>
    <n v="3"/>
    <n v="2"/>
    <n v="80"/>
    <n v="2"/>
    <n v="9"/>
    <n v="4"/>
    <n v="3"/>
    <x v="8"/>
    <m/>
    <n v="3"/>
    <n v="1"/>
    <n v="4"/>
  </r>
  <r>
    <n v="27"/>
    <x v="1"/>
    <x v="1"/>
    <n v="829"/>
    <x v="0"/>
    <n v="8"/>
    <n v="1"/>
    <x v="3"/>
    <n v="1"/>
    <n v="800"/>
    <n v="3"/>
    <x v="1"/>
    <n v="84"/>
    <n v="3"/>
    <n v="2"/>
    <x v="0"/>
    <n v="4"/>
    <x v="1"/>
    <n v="4342"/>
    <n v="24008"/>
    <n v="0"/>
    <s v="Y"/>
    <x v="1"/>
    <n v="19"/>
    <n v="3"/>
    <n v="2"/>
    <n v="80"/>
    <n v="1"/>
    <n v="5"/>
    <n v="3"/>
    <n v="3"/>
    <x v="9"/>
    <m/>
    <n v="2"/>
    <n v="1"/>
    <n v="1"/>
  </r>
  <r>
    <n v="37"/>
    <x v="1"/>
    <x v="0"/>
    <n v="571"/>
    <x v="1"/>
    <n v="10"/>
    <n v="1"/>
    <x v="0"/>
    <n v="1"/>
    <n v="802"/>
    <n v="4"/>
    <x v="0"/>
    <n v="82"/>
    <n v="3"/>
    <n v="1"/>
    <x v="1"/>
    <n v="1"/>
    <x v="2"/>
    <n v="2782"/>
    <n v="19905"/>
    <n v="0"/>
    <s v="Y"/>
    <x v="0"/>
    <n v="13"/>
    <n v="3"/>
    <n v="2"/>
    <n v="80"/>
    <n v="2"/>
    <n v="6"/>
    <n v="3"/>
    <n v="2"/>
    <x v="8"/>
    <m/>
    <n v="3"/>
    <n v="4"/>
    <n v="3"/>
  </r>
  <r>
    <n v="38"/>
    <x v="1"/>
    <x v="1"/>
    <n v="240"/>
    <x v="1"/>
    <n v="2"/>
    <n v="4"/>
    <x v="0"/>
    <n v="1"/>
    <n v="803"/>
    <n v="1"/>
    <x v="0"/>
    <n v="75"/>
    <n v="4"/>
    <n v="2"/>
    <x v="3"/>
    <n v="1"/>
    <x v="0"/>
    <n v="5980"/>
    <n v="26085"/>
    <n v="6"/>
    <s v="Y"/>
    <x v="0"/>
    <n v="12"/>
    <n v="3"/>
    <n v="4"/>
    <n v="80"/>
    <n v="0"/>
    <n v="17"/>
    <n v="2"/>
    <n v="3"/>
    <x v="15"/>
    <m/>
    <n v="7"/>
    <n v="4"/>
    <n v="12"/>
  </r>
  <r>
    <n v="34"/>
    <x v="1"/>
    <x v="0"/>
    <n v="121"/>
    <x v="1"/>
    <n v="2"/>
    <n v="4"/>
    <x v="2"/>
    <n v="1"/>
    <n v="804"/>
    <n v="3"/>
    <x v="0"/>
    <n v="86"/>
    <n v="2"/>
    <n v="1"/>
    <x v="1"/>
    <n v="1"/>
    <x v="0"/>
    <n v="4381"/>
    <n v="7530"/>
    <n v="1"/>
    <s v="Y"/>
    <x v="1"/>
    <n v="11"/>
    <n v="3"/>
    <n v="3"/>
    <n v="80"/>
    <n v="0"/>
    <n v="6"/>
    <n v="3"/>
    <n v="3"/>
    <x v="0"/>
    <m/>
    <n v="5"/>
    <n v="1"/>
    <n v="3"/>
  </r>
  <r>
    <n v="35"/>
    <x v="1"/>
    <x v="0"/>
    <n v="384"/>
    <x v="0"/>
    <n v="8"/>
    <n v="4"/>
    <x v="0"/>
    <n v="1"/>
    <n v="805"/>
    <n v="1"/>
    <x v="0"/>
    <n v="72"/>
    <n v="3"/>
    <n v="1"/>
    <x v="6"/>
    <n v="4"/>
    <x v="1"/>
    <n v="2572"/>
    <n v="20317"/>
    <n v="1"/>
    <s v="Y"/>
    <x v="1"/>
    <n v="16"/>
    <n v="3"/>
    <n v="2"/>
    <n v="80"/>
    <n v="1"/>
    <n v="3"/>
    <n v="1"/>
    <n v="2"/>
    <x v="11"/>
    <m/>
    <n v="2"/>
    <n v="0"/>
    <n v="2"/>
  </r>
  <r>
    <n v="30"/>
    <x v="1"/>
    <x v="0"/>
    <n v="921"/>
    <x v="1"/>
    <n v="1"/>
    <n v="3"/>
    <x v="0"/>
    <n v="1"/>
    <n v="806"/>
    <n v="4"/>
    <x v="1"/>
    <n v="38"/>
    <n v="1"/>
    <n v="1"/>
    <x v="2"/>
    <n v="3"/>
    <x v="1"/>
    <n v="3833"/>
    <n v="24375"/>
    <n v="3"/>
    <s v="Y"/>
    <x v="1"/>
    <n v="21"/>
    <n v="4"/>
    <n v="3"/>
    <n v="80"/>
    <n v="2"/>
    <n v="7"/>
    <n v="2"/>
    <n v="3"/>
    <x v="4"/>
    <m/>
    <n v="2"/>
    <n v="0"/>
    <n v="2"/>
  </r>
  <r>
    <n v="40"/>
    <x v="1"/>
    <x v="1"/>
    <n v="791"/>
    <x v="1"/>
    <n v="2"/>
    <n v="2"/>
    <x v="2"/>
    <n v="1"/>
    <n v="807"/>
    <n v="3"/>
    <x v="0"/>
    <n v="38"/>
    <n v="4"/>
    <n v="2"/>
    <x v="4"/>
    <n v="2"/>
    <x v="1"/>
    <n v="4244"/>
    <n v="9931"/>
    <n v="1"/>
    <s v="Y"/>
    <x v="1"/>
    <n v="24"/>
    <n v="4"/>
    <n v="4"/>
    <n v="80"/>
    <n v="1"/>
    <n v="8"/>
    <n v="2"/>
    <n v="3"/>
    <x v="3"/>
    <m/>
    <n v="7"/>
    <n v="3"/>
    <n v="7"/>
  </r>
  <r>
    <n v="34"/>
    <x v="1"/>
    <x v="0"/>
    <n v="1111"/>
    <x v="0"/>
    <n v="8"/>
    <n v="2"/>
    <x v="0"/>
    <n v="1"/>
    <n v="808"/>
    <n v="3"/>
    <x v="0"/>
    <n v="93"/>
    <n v="3"/>
    <n v="2"/>
    <x v="0"/>
    <n v="1"/>
    <x v="1"/>
    <n v="6500"/>
    <n v="13305"/>
    <n v="5"/>
    <s v="Y"/>
    <x v="1"/>
    <n v="17"/>
    <n v="3"/>
    <n v="2"/>
    <n v="80"/>
    <n v="1"/>
    <n v="6"/>
    <n v="1"/>
    <n v="3"/>
    <x v="11"/>
    <m/>
    <n v="2"/>
    <n v="1"/>
    <n v="2"/>
  </r>
  <r>
    <n v="42"/>
    <x v="1"/>
    <x v="1"/>
    <n v="570"/>
    <x v="1"/>
    <n v="8"/>
    <n v="3"/>
    <x v="0"/>
    <n v="1"/>
    <n v="809"/>
    <n v="2"/>
    <x v="1"/>
    <n v="66"/>
    <n v="3"/>
    <n v="5"/>
    <x v="5"/>
    <n v="4"/>
    <x v="2"/>
    <n v="18430"/>
    <n v="16225"/>
    <n v="1"/>
    <s v="Y"/>
    <x v="1"/>
    <n v="13"/>
    <n v="3"/>
    <n v="2"/>
    <n v="80"/>
    <n v="1"/>
    <n v="24"/>
    <n v="4"/>
    <n v="2"/>
    <x v="25"/>
    <m/>
    <n v="7"/>
    <n v="14"/>
    <n v="9"/>
  </r>
  <r>
    <n v="23"/>
    <x v="0"/>
    <x v="0"/>
    <n v="1243"/>
    <x v="1"/>
    <n v="6"/>
    <n v="3"/>
    <x v="0"/>
    <n v="1"/>
    <n v="811"/>
    <n v="3"/>
    <x v="1"/>
    <n v="63"/>
    <n v="4"/>
    <n v="1"/>
    <x v="2"/>
    <n v="1"/>
    <x v="1"/>
    <n v="1601"/>
    <n v="3445"/>
    <n v="1"/>
    <s v="Y"/>
    <x v="0"/>
    <n v="21"/>
    <n v="4"/>
    <n v="3"/>
    <n v="80"/>
    <n v="2"/>
    <n v="1"/>
    <n v="2"/>
    <n v="3"/>
    <x v="2"/>
    <m/>
    <n v="0"/>
    <n v="0"/>
    <n v="0"/>
  </r>
  <r>
    <n v="24"/>
    <x v="1"/>
    <x v="2"/>
    <n v="1092"/>
    <x v="1"/>
    <n v="9"/>
    <n v="3"/>
    <x v="0"/>
    <n v="1"/>
    <n v="812"/>
    <n v="3"/>
    <x v="1"/>
    <n v="60"/>
    <n v="2"/>
    <n v="1"/>
    <x v="2"/>
    <n v="2"/>
    <x v="2"/>
    <n v="2694"/>
    <n v="26551"/>
    <n v="1"/>
    <s v="Y"/>
    <x v="1"/>
    <n v="11"/>
    <n v="3"/>
    <n v="3"/>
    <n v="80"/>
    <n v="3"/>
    <n v="1"/>
    <n v="4"/>
    <n v="3"/>
    <x v="6"/>
    <m/>
    <n v="0"/>
    <n v="0"/>
    <n v="0"/>
  </r>
  <r>
    <n v="52"/>
    <x v="1"/>
    <x v="0"/>
    <n v="1325"/>
    <x v="1"/>
    <n v="11"/>
    <n v="4"/>
    <x v="0"/>
    <n v="1"/>
    <n v="813"/>
    <n v="4"/>
    <x v="0"/>
    <n v="82"/>
    <n v="3"/>
    <n v="2"/>
    <x v="2"/>
    <n v="3"/>
    <x v="1"/>
    <n v="3149"/>
    <n v="21821"/>
    <n v="8"/>
    <s v="Y"/>
    <x v="1"/>
    <n v="20"/>
    <n v="4"/>
    <n v="2"/>
    <n v="80"/>
    <n v="1"/>
    <n v="9"/>
    <n v="3"/>
    <n v="3"/>
    <x v="8"/>
    <m/>
    <n v="2"/>
    <n v="1"/>
    <n v="4"/>
  </r>
  <r>
    <n v="50"/>
    <x v="1"/>
    <x v="0"/>
    <n v="691"/>
    <x v="1"/>
    <n v="2"/>
    <n v="3"/>
    <x v="2"/>
    <n v="1"/>
    <n v="815"/>
    <n v="3"/>
    <x v="1"/>
    <n v="64"/>
    <n v="3"/>
    <n v="4"/>
    <x v="7"/>
    <n v="3"/>
    <x v="1"/>
    <n v="17639"/>
    <n v="6881"/>
    <n v="5"/>
    <s v="Y"/>
    <x v="1"/>
    <n v="16"/>
    <n v="3"/>
    <n v="4"/>
    <n v="80"/>
    <n v="0"/>
    <n v="30"/>
    <n v="3"/>
    <n v="3"/>
    <x v="9"/>
    <m/>
    <n v="3"/>
    <n v="0"/>
    <n v="3"/>
  </r>
  <r>
    <n v="29"/>
    <x v="0"/>
    <x v="0"/>
    <n v="805"/>
    <x v="1"/>
    <n v="1"/>
    <n v="2"/>
    <x v="0"/>
    <n v="1"/>
    <n v="816"/>
    <n v="2"/>
    <x v="0"/>
    <n v="36"/>
    <n v="2"/>
    <n v="1"/>
    <x v="2"/>
    <n v="1"/>
    <x v="1"/>
    <n v="2319"/>
    <n v="6689"/>
    <n v="1"/>
    <s v="Y"/>
    <x v="0"/>
    <n v="11"/>
    <n v="3"/>
    <n v="4"/>
    <n v="80"/>
    <n v="1"/>
    <n v="1"/>
    <n v="1"/>
    <n v="3"/>
    <x v="6"/>
    <m/>
    <n v="0"/>
    <n v="0"/>
    <n v="0"/>
  </r>
  <r>
    <n v="33"/>
    <x v="1"/>
    <x v="0"/>
    <n v="213"/>
    <x v="1"/>
    <n v="7"/>
    <n v="3"/>
    <x v="2"/>
    <n v="1"/>
    <n v="817"/>
    <n v="3"/>
    <x v="1"/>
    <n v="49"/>
    <n v="3"/>
    <n v="3"/>
    <x v="7"/>
    <n v="3"/>
    <x v="1"/>
    <n v="11691"/>
    <n v="25995"/>
    <n v="0"/>
    <s v="Y"/>
    <x v="1"/>
    <n v="11"/>
    <n v="3"/>
    <n v="4"/>
    <n v="80"/>
    <n v="0"/>
    <n v="14"/>
    <n v="3"/>
    <n v="4"/>
    <x v="20"/>
    <m/>
    <n v="9"/>
    <n v="3"/>
    <n v="7"/>
  </r>
  <r>
    <n v="33"/>
    <x v="0"/>
    <x v="0"/>
    <n v="118"/>
    <x v="0"/>
    <n v="16"/>
    <n v="3"/>
    <x v="3"/>
    <n v="1"/>
    <n v="819"/>
    <n v="1"/>
    <x v="0"/>
    <n v="69"/>
    <n v="3"/>
    <n v="2"/>
    <x v="0"/>
    <n v="1"/>
    <x v="0"/>
    <n v="5324"/>
    <n v="26507"/>
    <n v="5"/>
    <s v="Y"/>
    <x v="1"/>
    <n v="15"/>
    <n v="3"/>
    <n v="3"/>
    <n v="80"/>
    <n v="0"/>
    <n v="6"/>
    <n v="3"/>
    <n v="3"/>
    <x v="11"/>
    <m/>
    <n v="2"/>
    <n v="0"/>
    <n v="2"/>
  </r>
  <r>
    <n v="47"/>
    <x v="1"/>
    <x v="0"/>
    <n v="202"/>
    <x v="1"/>
    <n v="2"/>
    <n v="2"/>
    <x v="1"/>
    <n v="1"/>
    <n v="820"/>
    <n v="3"/>
    <x v="0"/>
    <n v="33"/>
    <n v="3"/>
    <n v="4"/>
    <x v="5"/>
    <n v="4"/>
    <x v="1"/>
    <n v="16752"/>
    <n v="12982"/>
    <n v="1"/>
    <s v="Y"/>
    <x v="0"/>
    <n v="11"/>
    <n v="3"/>
    <n v="3"/>
    <n v="80"/>
    <n v="1"/>
    <n v="26"/>
    <n v="3"/>
    <n v="2"/>
    <x v="34"/>
    <m/>
    <n v="14"/>
    <n v="3"/>
    <n v="0"/>
  </r>
  <r>
    <n v="36"/>
    <x v="1"/>
    <x v="0"/>
    <n v="676"/>
    <x v="1"/>
    <n v="1"/>
    <n v="3"/>
    <x v="1"/>
    <n v="1"/>
    <n v="823"/>
    <n v="3"/>
    <x v="0"/>
    <n v="35"/>
    <n v="3"/>
    <n v="2"/>
    <x v="3"/>
    <n v="2"/>
    <x v="1"/>
    <n v="5228"/>
    <n v="23361"/>
    <n v="0"/>
    <s v="Y"/>
    <x v="1"/>
    <n v="15"/>
    <n v="3"/>
    <n v="1"/>
    <n v="80"/>
    <n v="1"/>
    <n v="10"/>
    <n v="2"/>
    <n v="3"/>
    <x v="7"/>
    <m/>
    <n v="7"/>
    <n v="0"/>
    <n v="5"/>
  </r>
  <r>
    <n v="29"/>
    <x v="1"/>
    <x v="0"/>
    <n v="1252"/>
    <x v="1"/>
    <n v="23"/>
    <n v="2"/>
    <x v="0"/>
    <n v="1"/>
    <n v="824"/>
    <n v="3"/>
    <x v="1"/>
    <n v="81"/>
    <n v="4"/>
    <n v="1"/>
    <x v="1"/>
    <n v="3"/>
    <x v="1"/>
    <n v="2700"/>
    <n v="23779"/>
    <n v="1"/>
    <s v="Y"/>
    <x v="1"/>
    <n v="24"/>
    <n v="4"/>
    <n v="3"/>
    <n v="80"/>
    <n v="1"/>
    <n v="10"/>
    <n v="3"/>
    <n v="3"/>
    <x v="1"/>
    <m/>
    <n v="7"/>
    <n v="0"/>
    <n v="7"/>
  </r>
  <r>
    <n v="58"/>
    <x v="0"/>
    <x v="0"/>
    <n v="286"/>
    <x v="1"/>
    <n v="2"/>
    <n v="4"/>
    <x v="0"/>
    <n v="1"/>
    <n v="825"/>
    <n v="4"/>
    <x v="1"/>
    <n v="31"/>
    <n v="3"/>
    <n v="5"/>
    <x v="7"/>
    <n v="2"/>
    <x v="0"/>
    <n v="19246"/>
    <n v="25761"/>
    <n v="7"/>
    <s v="Y"/>
    <x v="0"/>
    <n v="12"/>
    <n v="3"/>
    <n v="4"/>
    <n v="80"/>
    <n v="0"/>
    <n v="40"/>
    <n v="2"/>
    <n v="3"/>
    <x v="31"/>
    <m/>
    <n v="15"/>
    <n v="13"/>
    <n v="8"/>
  </r>
  <r>
    <n v="35"/>
    <x v="1"/>
    <x v="0"/>
    <n v="1258"/>
    <x v="1"/>
    <n v="1"/>
    <n v="4"/>
    <x v="0"/>
    <n v="1"/>
    <n v="826"/>
    <n v="4"/>
    <x v="0"/>
    <n v="40"/>
    <n v="4"/>
    <n v="1"/>
    <x v="1"/>
    <n v="3"/>
    <x v="0"/>
    <n v="2506"/>
    <n v="13301"/>
    <n v="3"/>
    <s v="Y"/>
    <x v="1"/>
    <n v="13"/>
    <n v="3"/>
    <n v="3"/>
    <n v="80"/>
    <n v="0"/>
    <n v="7"/>
    <n v="0"/>
    <n v="3"/>
    <x v="4"/>
    <m/>
    <n v="2"/>
    <n v="2"/>
    <n v="2"/>
  </r>
  <r>
    <n v="42"/>
    <x v="1"/>
    <x v="0"/>
    <n v="932"/>
    <x v="1"/>
    <n v="1"/>
    <n v="2"/>
    <x v="0"/>
    <n v="1"/>
    <n v="827"/>
    <n v="4"/>
    <x v="0"/>
    <n v="43"/>
    <n v="2"/>
    <n v="2"/>
    <x v="3"/>
    <n v="4"/>
    <x v="1"/>
    <n v="6062"/>
    <n v="4051"/>
    <n v="9"/>
    <s v="Y"/>
    <x v="0"/>
    <n v="13"/>
    <n v="3"/>
    <n v="4"/>
    <n v="80"/>
    <n v="1"/>
    <n v="8"/>
    <n v="4"/>
    <n v="3"/>
    <x v="9"/>
    <m/>
    <n v="3"/>
    <n v="0"/>
    <n v="2"/>
  </r>
  <r>
    <n v="28"/>
    <x v="0"/>
    <x v="0"/>
    <n v="890"/>
    <x v="1"/>
    <n v="2"/>
    <n v="4"/>
    <x v="2"/>
    <n v="1"/>
    <n v="828"/>
    <n v="3"/>
    <x v="1"/>
    <n v="46"/>
    <n v="3"/>
    <n v="1"/>
    <x v="1"/>
    <n v="3"/>
    <x v="0"/>
    <n v="4382"/>
    <n v="16374"/>
    <n v="6"/>
    <s v="Y"/>
    <x v="1"/>
    <n v="17"/>
    <n v="3"/>
    <n v="4"/>
    <n v="80"/>
    <n v="0"/>
    <n v="5"/>
    <n v="3"/>
    <n v="2"/>
    <x v="4"/>
    <m/>
    <n v="2"/>
    <n v="2"/>
    <n v="1"/>
  </r>
  <r>
    <n v="36"/>
    <x v="1"/>
    <x v="0"/>
    <n v="1041"/>
    <x v="2"/>
    <n v="13"/>
    <n v="3"/>
    <x v="5"/>
    <n v="1"/>
    <n v="829"/>
    <n v="3"/>
    <x v="1"/>
    <n v="36"/>
    <n v="3"/>
    <n v="1"/>
    <x v="8"/>
    <n v="2"/>
    <x v="1"/>
    <n v="2143"/>
    <n v="25527"/>
    <n v="4"/>
    <s v="Y"/>
    <x v="1"/>
    <n v="13"/>
    <n v="3"/>
    <n v="2"/>
    <n v="80"/>
    <n v="1"/>
    <n v="8"/>
    <n v="2"/>
    <n v="3"/>
    <x v="8"/>
    <m/>
    <n v="2"/>
    <n v="0"/>
    <n v="4"/>
  </r>
  <r>
    <n v="32"/>
    <x v="1"/>
    <x v="0"/>
    <n v="859"/>
    <x v="1"/>
    <n v="4"/>
    <n v="3"/>
    <x v="0"/>
    <n v="1"/>
    <n v="830"/>
    <n v="3"/>
    <x v="0"/>
    <n v="98"/>
    <n v="2"/>
    <n v="2"/>
    <x v="3"/>
    <n v="3"/>
    <x v="1"/>
    <n v="6162"/>
    <n v="19124"/>
    <n v="1"/>
    <s v="Y"/>
    <x v="1"/>
    <n v="12"/>
    <n v="3"/>
    <n v="3"/>
    <n v="80"/>
    <n v="1"/>
    <n v="14"/>
    <n v="3"/>
    <n v="3"/>
    <x v="13"/>
    <m/>
    <n v="13"/>
    <n v="6"/>
    <n v="8"/>
  </r>
  <r>
    <n v="40"/>
    <x v="1"/>
    <x v="1"/>
    <n v="720"/>
    <x v="1"/>
    <n v="16"/>
    <n v="4"/>
    <x v="2"/>
    <n v="1"/>
    <n v="832"/>
    <n v="1"/>
    <x v="1"/>
    <n v="51"/>
    <n v="2"/>
    <n v="2"/>
    <x v="2"/>
    <n v="3"/>
    <x v="0"/>
    <n v="5094"/>
    <n v="11983"/>
    <n v="6"/>
    <s v="Y"/>
    <x v="1"/>
    <n v="14"/>
    <n v="3"/>
    <n v="4"/>
    <n v="80"/>
    <n v="0"/>
    <n v="10"/>
    <n v="6"/>
    <n v="3"/>
    <x v="6"/>
    <m/>
    <n v="0"/>
    <n v="0"/>
    <n v="0"/>
  </r>
  <r>
    <n v="30"/>
    <x v="1"/>
    <x v="0"/>
    <n v="946"/>
    <x v="1"/>
    <n v="2"/>
    <n v="3"/>
    <x v="2"/>
    <n v="1"/>
    <n v="833"/>
    <n v="3"/>
    <x v="0"/>
    <n v="52"/>
    <n v="2"/>
    <n v="2"/>
    <x v="3"/>
    <n v="4"/>
    <x v="0"/>
    <n v="6877"/>
    <n v="20234"/>
    <n v="5"/>
    <s v="Y"/>
    <x v="0"/>
    <n v="24"/>
    <n v="4"/>
    <n v="2"/>
    <n v="80"/>
    <n v="0"/>
    <n v="12"/>
    <n v="4"/>
    <n v="2"/>
    <x v="2"/>
    <m/>
    <n v="0"/>
    <n v="0"/>
    <n v="0"/>
  </r>
  <r>
    <n v="45"/>
    <x v="1"/>
    <x v="0"/>
    <n v="252"/>
    <x v="1"/>
    <n v="2"/>
    <n v="3"/>
    <x v="0"/>
    <n v="1"/>
    <n v="834"/>
    <n v="2"/>
    <x v="0"/>
    <n v="95"/>
    <n v="2"/>
    <n v="1"/>
    <x v="1"/>
    <n v="3"/>
    <x v="0"/>
    <n v="2274"/>
    <n v="6153"/>
    <n v="1"/>
    <s v="Y"/>
    <x v="1"/>
    <n v="14"/>
    <n v="3"/>
    <n v="4"/>
    <n v="80"/>
    <n v="0"/>
    <n v="1"/>
    <n v="3"/>
    <n v="3"/>
    <x v="6"/>
    <m/>
    <n v="0"/>
    <n v="0"/>
    <n v="0"/>
  </r>
  <r>
    <n v="42"/>
    <x v="1"/>
    <x v="0"/>
    <n v="933"/>
    <x v="1"/>
    <n v="29"/>
    <n v="3"/>
    <x v="0"/>
    <n v="1"/>
    <n v="836"/>
    <n v="2"/>
    <x v="1"/>
    <n v="98"/>
    <n v="3"/>
    <n v="2"/>
    <x v="3"/>
    <n v="2"/>
    <x v="1"/>
    <n v="4434"/>
    <n v="11806"/>
    <n v="1"/>
    <s v="Y"/>
    <x v="1"/>
    <n v="13"/>
    <n v="3"/>
    <n v="4"/>
    <n v="80"/>
    <n v="1"/>
    <n v="10"/>
    <n v="3"/>
    <n v="2"/>
    <x v="7"/>
    <m/>
    <n v="8"/>
    <n v="7"/>
    <n v="8"/>
  </r>
  <r>
    <n v="38"/>
    <x v="1"/>
    <x v="1"/>
    <n v="471"/>
    <x v="1"/>
    <n v="12"/>
    <n v="3"/>
    <x v="0"/>
    <n v="1"/>
    <n v="837"/>
    <n v="1"/>
    <x v="1"/>
    <n v="45"/>
    <n v="2"/>
    <n v="2"/>
    <x v="4"/>
    <n v="1"/>
    <x v="2"/>
    <n v="6288"/>
    <n v="4284"/>
    <n v="2"/>
    <s v="Y"/>
    <x v="1"/>
    <n v="15"/>
    <n v="3"/>
    <n v="3"/>
    <n v="80"/>
    <n v="1"/>
    <n v="13"/>
    <n v="3"/>
    <n v="2"/>
    <x v="9"/>
    <m/>
    <n v="3"/>
    <n v="1"/>
    <n v="2"/>
  </r>
  <r>
    <n v="34"/>
    <x v="1"/>
    <x v="1"/>
    <n v="702"/>
    <x v="1"/>
    <n v="16"/>
    <n v="4"/>
    <x v="0"/>
    <n v="1"/>
    <n v="838"/>
    <n v="3"/>
    <x v="0"/>
    <n v="100"/>
    <n v="2"/>
    <n v="1"/>
    <x v="1"/>
    <n v="4"/>
    <x v="0"/>
    <n v="2553"/>
    <n v="8306"/>
    <n v="1"/>
    <s v="Y"/>
    <x v="1"/>
    <n v="16"/>
    <n v="3"/>
    <n v="3"/>
    <n v="80"/>
    <n v="0"/>
    <n v="6"/>
    <n v="3"/>
    <n v="3"/>
    <x v="8"/>
    <m/>
    <n v="2"/>
    <n v="1"/>
    <n v="3"/>
  </r>
  <r>
    <n v="49"/>
    <x v="0"/>
    <x v="0"/>
    <n v="1184"/>
    <x v="0"/>
    <n v="11"/>
    <n v="3"/>
    <x v="3"/>
    <n v="1"/>
    <n v="840"/>
    <n v="3"/>
    <x v="0"/>
    <n v="43"/>
    <n v="3"/>
    <n v="3"/>
    <x v="0"/>
    <n v="4"/>
    <x v="1"/>
    <n v="7654"/>
    <n v="5860"/>
    <n v="1"/>
    <s v="Y"/>
    <x v="1"/>
    <n v="18"/>
    <n v="3"/>
    <n v="1"/>
    <n v="80"/>
    <n v="2"/>
    <n v="9"/>
    <n v="3"/>
    <n v="4"/>
    <x v="7"/>
    <m/>
    <n v="8"/>
    <n v="7"/>
    <n v="7"/>
  </r>
  <r>
    <n v="55"/>
    <x v="0"/>
    <x v="0"/>
    <n v="436"/>
    <x v="0"/>
    <n v="2"/>
    <n v="1"/>
    <x v="2"/>
    <n v="1"/>
    <n v="842"/>
    <n v="3"/>
    <x v="1"/>
    <n v="37"/>
    <n v="3"/>
    <n v="2"/>
    <x v="0"/>
    <n v="4"/>
    <x v="0"/>
    <n v="5160"/>
    <n v="21519"/>
    <n v="4"/>
    <s v="Y"/>
    <x v="1"/>
    <n v="16"/>
    <n v="3"/>
    <n v="3"/>
    <n v="80"/>
    <n v="0"/>
    <n v="12"/>
    <n v="3"/>
    <n v="2"/>
    <x v="7"/>
    <m/>
    <n v="7"/>
    <n v="7"/>
    <n v="3"/>
  </r>
  <r>
    <n v="43"/>
    <x v="1"/>
    <x v="0"/>
    <n v="589"/>
    <x v="1"/>
    <n v="14"/>
    <n v="2"/>
    <x v="0"/>
    <n v="1"/>
    <n v="843"/>
    <n v="2"/>
    <x v="1"/>
    <n v="94"/>
    <n v="3"/>
    <n v="4"/>
    <x v="7"/>
    <n v="1"/>
    <x v="1"/>
    <n v="17159"/>
    <n v="5200"/>
    <n v="6"/>
    <s v="Y"/>
    <x v="1"/>
    <n v="24"/>
    <n v="4"/>
    <n v="3"/>
    <n v="80"/>
    <n v="1"/>
    <n v="22"/>
    <n v="3"/>
    <n v="3"/>
    <x v="9"/>
    <m/>
    <n v="1"/>
    <n v="1"/>
    <n v="0"/>
  </r>
  <r>
    <n v="27"/>
    <x v="1"/>
    <x v="0"/>
    <n v="269"/>
    <x v="1"/>
    <n v="5"/>
    <n v="1"/>
    <x v="4"/>
    <n v="1"/>
    <n v="844"/>
    <n v="3"/>
    <x v="1"/>
    <n v="42"/>
    <n v="2"/>
    <n v="3"/>
    <x v="7"/>
    <n v="4"/>
    <x v="2"/>
    <n v="12808"/>
    <n v="8842"/>
    <n v="1"/>
    <s v="Y"/>
    <x v="0"/>
    <n v="16"/>
    <n v="3"/>
    <n v="2"/>
    <n v="80"/>
    <n v="1"/>
    <n v="9"/>
    <n v="3"/>
    <n v="3"/>
    <x v="7"/>
    <m/>
    <n v="8"/>
    <n v="0"/>
    <n v="8"/>
  </r>
  <r>
    <n v="35"/>
    <x v="1"/>
    <x v="0"/>
    <n v="950"/>
    <x v="1"/>
    <n v="7"/>
    <n v="3"/>
    <x v="1"/>
    <n v="1"/>
    <n v="845"/>
    <n v="3"/>
    <x v="1"/>
    <n v="59"/>
    <n v="3"/>
    <n v="3"/>
    <x v="3"/>
    <n v="3"/>
    <x v="0"/>
    <n v="10221"/>
    <n v="18869"/>
    <n v="3"/>
    <s v="Y"/>
    <x v="1"/>
    <n v="21"/>
    <n v="4"/>
    <n v="2"/>
    <n v="80"/>
    <n v="0"/>
    <n v="17"/>
    <n v="3"/>
    <n v="4"/>
    <x v="3"/>
    <m/>
    <n v="5"/>
    <n v="1"/>
    <n v="6"/>
  </r>
  <r>
    <n v="28"/>
    <x v="1"/>
    <x v="0"/>
    <n v="760"/>
    <x v="0"/>
    <n v="2"/>
    <n v="4"/>
    <x v="3"/>
    <n v="1"/>
    <n v="846"/>
    <n v="2"/>
    <x v="0"/>
    <n v="81"/>
    <n v="3"/>
    <n v="2"/>
    <x v="0"/>
    <n v="2"/>
    <x v="1"/>
    <n v="4779"/>
    <n v="3698"/>
    <n v="1"/>
    <s v="Y"/>
    <x v="0"/>
    <n v="20"/>
    <n v="4"/>
    <n v="1"/>
    <n v="80"/>
    <n v="0"/>
    <n v="8"/>
    <n v="2"/>
    <n v="3"/>
    <x v="3"/>
    <m/>
    <n v="7"/>
    <n v="7"/>
    <n v="5"/>
  </r>
  <r>
    <n v="34"/>
    <x v="1"/>
    <x v="0"/>
    <n v="829"/>
    <x v="2"/>
    <n v="3"/>
    <n v="2"/>
    <x v="5"/>
    <n v="1"/>
    <n v="847"/>
    <n v="3"/>
    <x v="1"/>
    <n v="88"/>
    <n v="3"/>
    <n v="1"/>
    <x v="8"/>
    <n v="4"/>
    <x v="1"/>
    <n v="3737"/>
    <n v="2243"/>
    <n v="0"/>
    <s v="Y"/>
    <x v="1"/>
    <n v="19"/>
    <n v="3"/>
    <n v="3"/>
    <n v="80"/>
    <n v="1"/>
    <n v="4"/>
    <n v="1"/>
    <n v="1"/>
    <x v="11"/>
    <m/>
    <n v="2"/>
    <n v="0"/>
    <n v="2"/>
  </r>
  <r>
    <n v="26"/>
    <x v="0"/>
    <x v="1"/>
    <n v="887"/>
    <x v="1"/>
    <n v="5"/>
    <n v="2"/>
    <x v="2"/>
    <n v="1"/>
    <n v="848"/>
    <n v="3"/>
    <x v="0"/>
    <n v="88"/>
    <n v="2"/>
    <n v="1"/>
    <x v="1"/>
    <n v="3"/>
    <x v="1"/>
    <n v="2366"/>
    <n v="20898"/>
    <n v="1"/>
    <s v="Y"/>
    <x v="0"/>
    <n v="14"/>
    <n v="3"/>
    <n v="1"/>
    <n v="80"/>
    <n v="1"/>
    <n v="8"/>
    <n v="2"/>
    <n v="3"/>
    <x v="3"/>
    <m/>
    <n v="7"/>
    <n v="1"/>
    <n v="7"/>
  </r>
  <r>
    <n v="27"/>
    <x v="1"/>
    <x v="2"/>
    <n v="443"/>
    <x v="1"/>
    <n v="3"/>
    <n v="3"/>
    <x v="2"/>
    <n v="1"/>
    <n v="850"/>
    <n v="4"/>
    <x v="1"/>
    <n v="50"/>
    <n v="3"/>
    <n v="1"/>
    <x v="1"/>
    <n v="4"/>
    <x v="1"/>
    <n v="1706"/>
    <n v="16571"/>
    <n v="1"/>
    <s v="Y"/>
    <x v="1"/>
    <n v="11"/>
    <n v="3"/>
    <n v="3"/>
    <n v="80"/>
    <n v="3"/>
    <n v="0"/>
    <n v="6"/>
    <n v="2"/>
    <x v="2"/>
    <m/>
    <n v="0"/>
    <n v="0"/>
    <n v="0"/>
  </r>
  <r>
    <n v="51"/>
    <x v="1"/>
    <x v="0"/>
    <n v="1318"/>
    <x v="0"/>
    <n v="26"/>
    <n v="4"/>
    <x v="3"/>
    <n v="1"/>
    <n v="851"/>
    <n v="1"/>
    <x v="0"/>
    <n v="66"/>
    <n v="3"/>
    <n v="4"/>
    <x v="5"/>
    <n v="3"/>
    <x v="1"/>
    <n v="16307"/>
    <n v="5594"/>
    <n v="2"/>
    <s v="Y"/>
    <x v="1"/>
    <n v="14"/>
    <n v="3"/>
    <n v="3"/>
    <n v="80"/>
    <n v="1"/>
    <n v="29"/>
    <n v="2"/>
    <n v="2"/>
    <x v="23"/>
    <m/>
    <n v="6"/>
    <n v="4"/>
    <n v="17"/>
  </r>
  <r>
    <n v="44"/>
    <x v="1"/>
    <x v="0"/>
    <n v="625"/>
    <x v="1"/>
    <n v="4"/>
    <n v="3"/>
    <x v="2"/>
    <n v="1"/>
    <n v="852"/>
    <n v="4"/>
    <x v="1"/>
    <n v="50"/>
    <n v="3"/>
    <n v="2"/>
    <x v="4"/>
    <n v="2"/>
    <x v="0"/>
    <n v="5933"/>
    <n v="5197"/>
    <n v="9"/>
    <s v="Y"/>
    <x v="1"/>
    <n v="12"/>
    <n v="3"/>
    <n v="4"/>
    <n v="80"/>
    <n v="0"/>
    <n v="10"/>
    <n v="2"/>
    <n v="2"/>
    <x v="8"/>
    <m/>
    <n v="2"/>
    <n v="2"/>
    <n v="3"/>
  </r>
  <r>
    <n v="25"/>
    <x v="1"/>
    <x v="0"/>
    <n v="180"/>
    <x v="1"/>
    <n v="2"/>
    <n v="1"/>
    <x v="2"/>
    <n v="1"/>
    <n v="854"/>
    <n v="1"/>
    <x v="1"/>
    <n v="65"/>
    <n v="4"/>
    <n v="1"/>
    <x v="1"/>
    <n v="1"/>
    <x v="0"/>
    <n v="3424"/>
    <n v="21632"/>
    <n v="7"/>
    <s v="Y"/>
    <x v="1"/>
    <n v="13"/>
    <n v="3"/>
    <n v="3"/>
    <n v="80"/>
    <n v="0"/>
    <n v="6"/>
    <n v="3"/>
    <n v="2"/>
    <x v="9"/>
    <m/>
    <n v="3"/>
    <n v="0"/>
    <n v="1"/>
  </r>
  <r>
    <n v="33"/>
    <x v="1"/>
    <x v="0"/>
    <n v="586"/>
    <x v="0"/>
    <n v="1"/>
    <n v="3"/>
    <x v="2"/>
    <n v="1"/>
    <n v="855"/>
    <n v="1"/>
    <x v="1"/>
    <n v="48"/>
    <n v="4"/>
    <n v="2"/>
    <x v="0"/>
    <n v="1"/>
    <x v="2"/>
    <n v="4037"/>
    <n v="21816"/>
    <n v="1"/>
    <s v="Y"/>
    <x v="1"/>
    <n v="22"/>
    <n v="4"/>
    <n v="1"/>
    <n v="80"/>
    <n v="1"/>
    <n v="9"/>
    <n v="5"/>
    <n v="3"/>
    <x v="7"/>
    <m/>
    <n v="8"/>
    <n v="0"/>
    <n v="8"/>
  </r>
  <r>
    <n v="35"/>
    <x v="1"/>
    <x v="0"/>
    <n v="1343"/>
    <x v="1"/>
    <n v="27"/>
    <n v="1"/>
    <x v="2"/>
    <n v="1"/>
    <n v="856"/>
    <n v="3"/>
    <x v="0"/>
    <n v="53"/>
    <n v="2"/>
    <n v="1"/>
    <x v="1"/>
    <n v="1"/>
    <x v="0"/>
    <n v="2559"/>
    <n v="17852"/>
    <n v="1"/>
    <s v="Y"/>
    <x v="1"/>
    <n v="11"/>
    <n v="3"/>
    <n v="4"/>
    <n v="80"/>
    <n v="0"/>
    <n v="6"/>
    <n v="3"/>
    <n v="2"/>
    <x v="0"/>
    <m/>
    <n v="5"/>
    <n v="1"/>
    <n v="1"/>
  </r>
  <r>
    <n v="36"/>
    <x v="1"/>
    <x v="0"/>
    <n v="928"/>
    <x v="0"/>
    <n v="1"/>
    <n v="2"/>
    <x v="0"/>
    <n v="1"/>
    <n v="857"/>
    <n v="2"/>
    <x v="1"/>
    <n v="56"/>
    <n v="3"/>
    <n v="2"/>
    <x v="0"/>
    <n v="4"/>
    <x v="1"/>
    <n v="6201"/>
    <n v="2823"/>
    <n v="1"/>
    <s v="Y"/>
    <x v="0"/>
    <n v="14"/>
    <n v="3"/>
    <n v="4"/>
    <n v="80"/>
    <n v="1"/>
    <n v="18"/>
    <n v="1"/>
    <n v="2"/>
    <x v="29"/>
    <m/>
    <n v="14"/>
    <n v="4"/>
    <n v="11"/>
  </r>
  <r>
    <n v="32"/>
    <x v="1"/>
    <x v="0"/>
    <n v="117"/>
    <x v="0"/>
    <n v="13"/>
    <n v="4"/>
    <x v="0"/>
    <n v="1"/>
    <n v="859"/>
    <n v="2"/>
    <x v="1"/>
    <n v="73"/>
    <n v="3"/>
    <n v="2"/>
    <x v="0"/>
    <n v="4"/>
    <x v="2"/>
    <n v="4403"/>
    <n v="9250"/>
    <n v="2"/>
    <s v="Y"/>
    <x v="1"/>
    <n v="11"/>
    <n v="3"/>
    <n v="3"/>
    <n v="80"/>
    <n v="1"/>
    <n v="8"/>
    <n v="3"/>
    <n v="2"/>
    <x v="8"/>
    <m/>
    <n v="2"/>
    <n v="0"/>
    <n v="3"/>
  </r>
  <r>
    <n v="30"/>
    <x v="1"/>
    <x v="1"/>
    <n v="1012"/>
    <x v="1"/>
    <n v="5"/>
    <n v="4"/>
    <x v="0"/>
    <n v="1"/>
    <n v="861"/>
    <n v="2"/>
    <x v="1"/>
    <n v="75"/>
    <n v="2"/>
    <n v="1"/>
    <x v="1"/>
    <n v="4"/>
    <x v="2"/>
    <n v="3761"/>
    <n v="2373"/>
    <n v="9"/>
    <s v="Y"/>
    <x v="1"/>
    <n v="12"/>
    <n v="3"/>
    <n v="2"/>
    <n v="80"/>
    <n v="1"/>
    <n v="10"/>
    <n v="3"/>
    <n v="2"/>
    <x v="8"/>
    <m/>
    <n v="4"/>
    <n v="0"/>
    <n v="3"/>
  </r>
  <r>
    <n v="53"/>
    <x v="1"/>
    <x v="0"/>
    <n v="661"/>
    <x v="0"/>
    <n v="7"/>
    <n v="2"/>
    <x v="3"/>
    <n v="1"/>
    <n v="862"/>
    <n v="1"/>
    <x v="0"/>
    <n v="78"/>
    <n v="2"/>
    <n v="3"/>
    <x v="0"/>
    <n v="4"/>
    <x v="1"/>
    <n v="10934"/>
    <n v="20715"/>
    <n v="7"/>
    <s v="Y"/>
    <x v="0"/>
    <n v="18"/>
    <n v="3"/>
    <n v="4"/>
    <n v="80"/>
    <n v="1"/>
    <n v="35"/>
    <n v="3"/>
    <n v="3"/>
    <x v="8"/>
    <m/>
    <n v="2"/>
    <n v="0"/>
    <n v="4"/>
  </r>
  <r>
    <n v="45"/>
    <x v="1"/>
    <x v="0"/>
    <n v="930"/>
    <x v="0"/>
    <n v="9"/>
    <n v="3"/>
    <x v="3"/>
    <n v="1"/>
    <n v="864"/>
    <n v="4"/>
    <x v="1"/>
    <n v="74"/>
    <n v="3"/>
    <n v="3"/>
    <x v="0"/>
    <n v="1"/>
    <x v="2"/>
    <n v="10761"/>
    <n v="19239"/>
    <n v="4"/>
    <s v="Y"/>
    <x v="0"/>
    <n v="12"/>
    <n v="3"/>
    <n v="3"/>
    <n v="80"/>
    <n v="1"/>
    <n v="18"/>
    <n v="2"/>
    <n v="3"/>
    <x v="8"/>
    <m/>
    <n v="4"/>
    <n v="0"/>
    <n v="2"/>
  </r>
  <r>
    <n v="32"/>
    <x v="1"/>
    <x v="0"/>
    <n v="638"/>
    <x v="1"/>
    <n v="8"/>
    <n v="2"/>
    <x v="2"/>
    <n v="1"/>
    <n v="865"/>
    <n v="3"/>
    <x v="0"/>
    <n v="91"/>
    <n v="4"/>
    <n v="2"/>
    <x v="1"/>
    <n v="3"/>
    <x v="1"/>
    <n v="5175"/>
    <n v="22162"/>
    <n v="5"/>
    <s v="Y"/>
    <x v="1"/>
    <n v="12"/>
    <n v="3"/>
    <n v="3"/>
    <n v="80"/>
    <n v="1"/>
    <n v="9"/>
    <n v="3"/>
    <n v="2"/>
    <x v="8"/>
    <m/>
    <n v="3"/>
    <n v="1"/>
    <n v="3"/>
  </r>
  <r>
    <n v="52"/>
    <x v="1"/>
    <x v="1"/>
    <n v="890"/>
    <x v="1"/>
    <n v="25"/>
    <n v="4"/>
    <x v="2"/>
    <n v="1"/>
    <n v="867"/>
    <n v="3"/>
    <x v="0"/>
    <n v="81"/>
    <n v="2"/>
    <n v="4"/>
    <x v="3"/>
    <n v="4"/>
    <x v="1"/>
    <n v="13826"/>
    <n v="19028"/>
    <n v="3"/>
    <s v="Y"/>
    <x v="1"/>
    <n v="22"/>
    <n v="4"/>
    <n v="3"/>
    <n v="80"/>
    <n v="0"/>
    <n v="31"/>
    <n v="3"/>
    <n v="3"/>
    <x v="7"/>
    <m/>
    <n v="8"/>
    <n v="0"/>
    <n v="0"/>
  </r>
  <r>
    <n v="37"/>
    <x v="1"/>
    <x v="0"/>
    <n v="342"/>
    <x v="0"/>
    <n v="16"/>
    <n v="4"/>
    <x v="3"/>
    <n v="1"/>
    <n v="868"/>
    <n v="4"/>
    <x v="1"/>
    <n v="66"/>
    <n v="2"/>
    <n v="2"/>
    <x v="0"/>
    <n v="3"/>
    <x v="2"/>
    <n v="6334"/>
    <n v="24558"/>
    <n v="4"/>
    <s v="Y"/>
    <x v="1"/>
    <n v="19"/>
    <n v="3"/>
    <n v="4"/>
    <n v="80"/>
    <n v="2"/>
    <n v="9"/>
    <n v="2"/>
    <n v="3"/>
    <x v="6"/>
    <m/>
    <n v="0"/>
    <n v="0"/>
    <n v="0"/>
  </r>
  <r>
    <n v="28"/>
    <x v="1"/>
    <x v="0"/>
    <n v="1169"/>
    <x v="2"/>
    <n v="8"/>
    <n v="2"/>
    <x v="2"/>
    <n v="1"/>
    <n v="869"/>
    <n v="2"/>
    <x v="1"/>
    <n v="63"/>
    <n v="2"/>
    <n v="1"/>
    <x v="8"/>
    <n v="4"/>
    <x v="2"/>
    <n v="4936"/>
    <n v="23965"/>
    <n v="1"/>
    <s v="Y"/>
    <x v="1"/>
    <n v="13"/>
    <n v="3"/>
    <n v="4"/>
    <n v="80"/>
    <n v="1"/>
    <n v="6"/>
    <n v="6"/>
    <n v="3"/>
    <x v="8"/>
    <m/>
    <n v="1"/>
    <n v="0"/>
    <n v="4"/>
  </r>
  <r>
    <n v="22"/>
    <x v="1"/>
    <x v="0"/>
    <n v="1230"/>
    <x v="1"/>
    <n v="1"/>
    <n v="2"/>
    <x v="0"/>
    <n v="1"/>
    <n v="872"/>
    <n v="4"/>
    <x v="1"/>
    <n v="33"/>
    <n v="2"/>
    <n v="2"/>
    <x v="3"/>
    <n v="4"/>
    <x v="1"/>
    <n v="4775"/>
    <n v="19146"/>
    <n v="6"/>
    <s v="Y"/>
    <x v="1"/>
    <n v="22"/>
    <n v="4"/>
    <n v="1"/>
    <n v="80"/>
    <n v="2"/>
    <n v="4"/>
    <n v="2"/>
    <n v="1"/>
    <x v="4"/>
    <m/>
    <n v="2"/>
    <n v="2"/>
    <n v="2"/>
  </r>
  <r>
    <n v="44"/>
    <x v="1"/>
    <x v="0"/>
    <n v="986"/>
    <x v="1"/>
    <n v="8"/>
    <n v="4"/>
    <x v="0"/>
    <n v="1"/>
    <n v="874"/>
    <n v="1"/>
    <x v="1"/>
    <n v="62"/>
    <n v="4"/>
    <n v="1"/>
    <x v="2"/>
    <n v="4"/>
    <x v="1"/>
    <n v="2818"/>
    <n v="5044"/>
    <n v="2"/>
    <s v="Y"/>
    <x v="0"/>
    <n v="24"/>
    <n v="4"/>
    <n v="3"/>
    <n v="80"/>
    <n v="1"/>
    <n v="10"/>
    <n v="2"/>
    <n v="2"/>
    <x v="11"/>
    <m/>
    <n v="2"/>
    <n v="0"/>
    <n v="2"/>
  </r>
  <r>
    <n v="42"/>
    <x v="1"/>
    <x v="1"/>
    <n v="1271"/>
    <x v="1"/>
    <n v="2"/>
    <n v="1"/>
    <x v="2"/>
    <n v="1"/>
    <n v="875"/>
    <n v="2"/>
    <x v="1"/>
    <n v="35"/>
    <n v="3"/>
    <n v="1"/>
    <x v="1"/>
    <n v="4"/>
    <x v="0"/>
    <n v="2515"/>
    <n v="9068"/>
    <n v="5"/>
    <s v="Y"/>
    <x v="0"/>
    <n v="14"/>
    <n v="3"/>
    <n v="4"/>
    <n v="80"/>
    <n v="0"/>
    <n v="8"/>
    <n v="2"/>
    <n v="3"/>
    <x v="4"/>
    <m/>
    <n v="1"/>
    <n v="2"/>
    <n v="2"/>
  </r>
  <r>
    <n v="36"/>
    <x v="1"/>
    <x v="0"/>
    <n v="1278"/>
    <x v="2"/>
    <n v="8"/>
    <n v="3"/>
    <x v="0"/>
    <n v="1"/>
    <n v="878"/>
    <n v="1"/>
    <x v="1"/>
    <n v="77"/>
    <n v="2"/>
    <n v="1"/>
    <x v="8"/>
    <n v="1"/>
    <x v="1"/>
    <n v="2342"/>
    <n v="8635"/>
    <n v="0"/>
    <s v="Y"/>
    <x v="1"/>
    <n v="21"/>
    <n v="4"/>
    <n v="3"/>
    <n v="80"/>
    <n v="0"/>
    <n v="6"/>
    <n v="3"/>
    <n v="3"/>
    <x v="8"/>
    <m/>
    <n v="4"/>
    <n v="0"/>
    <n v="3"/>
  </r>
  <r>
    <n v="25"/>
    <x v="1"/>
    <x v="0"/>
    <n v="141"/>
    <x v="0"/>
    <n v="3"/>
    <n v="1"/>
    <x v="1"/>
    <n v="1"/>
    <n v="879"/>
    <n v="3"/>
    <x v="1"/>
    <n v="98"/>
    <n v="3"/>
    <n v="2"/>
    <x v="0"/>
    <n v="1"/>
    <x v="1"/>
    <n v="4194"/>
    <n v="14363"/>
    <n v="1"/>
    <s v="Y"/>
    <x v="0"/>
    <n v="18"/>
    <n v="3"/>
    <n v="4"/>
    <n v="80"/>
    <n v="0"/>
    <n v="5"/>
    <n v="3"/>
    <n v="3"/>
    <x v="8"/>
    <m/>
    <n v="3"/>
    <n v="0"/>
    <n v="3"/>
  </r>
  <r>
    <n v="35"/>
    <x v="1"/>
    <x v="0"/>
    <n v="607"/>
    <x v="1"/>
    <n v="9"/>
    <n v="3"/>
    <x v="0"/>
    <n v="1"/>
    <n v="880"/>
    <n v="4"/>
    <x v="0"/>
    <n v="66"/>
    <n v="2"/>
    <n v="3"/>
    <x v="3"/>
    <n v="3"/>
    <x v="1"/>
    <n v="10685"/>
    <n v="23457"/>
    <n v="1"/>
    <s v="Y"/>
    <x v="0"/>
    <n v="20"/>
    <n v="4"/>
    <n v="2"/>
    <n v="80"/>
    <n v="1"/>
    <n v="17"/>
    <n v="2"/>
    <n v="3"/>
    <x v="18"/>
    <m/>
    <n v="14"/>
    <n v="5"/>
    <n v="15"/>
  </r>
  <r>
    <n v="35"/>
    <x v="0"/>
    <x v="1"/>
    <n v="130"/>
    <x v="1"/>
    <n v="25"/>
    <n v="4"/>
    <x v="0"/>
    <n v="1"/>
    <n v="881"/>
    <n v="4"/>
    <x v="0"/>
    <n v="96"/>
    <n v="3"/>
    <n v="1"/>
    <x v="1"/>
    <n v="2"/>
    <x v="2"/>
    <n v="2022"/>
    <n v="16612"/>
    <n v="1"/>
    <s v="Y"/>
    <x v="0"/>
    <n v="19"/>
    <n v="3"/>
    <n v="1"/>
    <n v="80"/>
    <n v="1"/>
    <n v="10"/>
    <n v="3"/>
    <n v="2"/>
    <x v="1"/>
    <m/>
    <n v="2"/>
    <n v="7"/>
    <n v="8"/>
  </r>
  <r>
    <n v="32"/>
    <x v="1"/>
    <x v="2"/>
    <n v="300"/>
    <x v="1"/>
    <n v="1"/>
    <n v="3"/>
    <x v="0"/>
    <n v="1"/>
    <n v="882"/>
    <n v="4"/>
    <x v="1"/>
    <n v="61"/>
    <n v="3"/>
    <n v="1"/>
    <x v="2"/>
    <n v="4"/>
    <x v="2"/>
    <n v="2314"/>
    <n v="9148"/>
    <n v="0"/>
    <s v="Y"/>
    <x v="1"/>
    <n v="12"/>
    <n v="3"/>
    <n v="2"/>
    <n v="80"/>
    <n v="1"/>
    <n v="4"/>
    <n v="2"/>
    <n v="3"/>
    <x v="11"/>
    <m/>
    <n v="0"/>
    <n v="0"/>
    <n v="2"/>
  </r>
  <r>
    <n v="25"/>
    <x v="1"/>
    <x v="0"/>
    <n v="583"/>
    <x v="0"/>
    <n v="4"/>
    <n v="1"/>
    <x v="3"/>
    <n v="1"/>
    <n v="885"/>
    <n v="3"/>
    <x v="1"/>
    <n v="87"/>
    <n v="2"/>
    <n v="2"/>
    <x v="0"/>
    <n v="1"/>
    <x v="1"/>
    <n v="4256"/>
    <n v="18154"/>
    <n v="1"/>
    <s v="Y"/>
    <x v="1"/>
    <n v="12"/>
    <n v="3"/>
    <n v="1"/>
    <n v="80"/>
    <n v="0"/>
    <n v="5"/>
    <n v="1"/>
    <n v="4"/>
    <x v="8"/>
    <m/>
    <n v="2"/>
    <n v="0"/>
    <n v="3"/>
  </r>
  <r>
    <n v="49"/>
    <x v="1"/>
    <x v="0"/>
    <n v="1418"/>
    <x v="1"/>
    <n v="1"/>
    <n v="3"/>
    <x v="4"/>
    <n v="1"/>
    <n v="887"/>
    <n v="3"/>
    <x v="0"/>
    <n v="36"/>
    <n v="3"/>
    <n v="1"/>
    <x v="1"/>
    <n v="1"/>
    <x v="1"/>
    <n v="3580"/>
    <n v="10554"/>
    <n v="2"/>
    <s v="Y"/>
    <x v="1"/>
    <n v="16"/>
    <n v="3"/>
    <n v="2"/>
    <n v="80"/>
    <n v="1"/>
    <n v="7"/>
    <n v="2"/>
    <n v="3"/>
    <x v="9"/>
    <m/>
    <n v="2"/>
    <n v="0"/>
    <n v="2"/>
  </r>
  <r>
    <n v="24"/>
    <x v="1"/>
    <x v="2"/>
    <n v="1269"/>
    <x v="1"/>
    <n v="4"/>
    <n v="1"/>
    <x v="0"/>
    <n v="1"/>
    <n v="888"/>
    <n v="1"/>
    <x v="1"/>
    <n v="46"/>
    <n v="2"/>
    <n v="1"/>
    <x v="2"/>
    <n v="4"/>
    <x v="1"/>
    <n v="3162"/>
    <n v="10778"/>
    <n v="0"/>
    <s v="Y"/>
    <x v="1"/>
    <n v="17"/>
    <n v="3"/>
    <n v="4"/>
    <n v="80"/>
    <n v="0"/>
    <n v="6"/>
    <n v="2"/>
    <n v="2"/>
    <x v="8"/>
    <m/>
    <n v="2"/>
    <n v="3"/>
    <n v="4"/>
  </r>
  <r>
    <n v="32"/>
    <x v="1"/>
    <x v="1"/>
    <n v="379"/>
    <x v="0"/>
    <n v="5"/>
    <n v="2"/>
    <x v="0"/>
    <n v="1"/>
    <n v="889"/>
    <n v="2"/>
    <x v="1"/>
    <n v="48"/>
    <n v="3"/>
    <n v="2"/>
    <x v="0"/>
    <n v="2"/>
    <x v="1"/>
    <n v="6524"/>
    <n v="8891"/>
    <n v="1"/>
    <s v="Y"/>
    <x v="1"/>
    <n v="14"/>
    <n v="3"/>
    <n v="4"/>
    <n v="80"/>
    <n v="1"/>
    <n v="10"/>
    <n v="3"/>
    <n v="3"/>
    <x v="1"/>
    <m/>
    <n v="8"/>
    <n v="5"/>
    <n v="3"/>
  </r>
  <r>
    <n v="38"/>
    <x v="1"/>
    <x v="0"/>
    <n v="395"/>
    <x v="0"/>
    <n v="9"/>
    <n v="3"/>
    <x v="3"/>
    <n v="1"/>
    <n v="893"/>
    <n v="2"/>
    <x v="1"/>
    <n v="98"/>
    <n v="2"/>
    <n v="1"/>
    <x v="6"/>
    <n v="2"/>
    <x v="1"/>
    <n v="2899"/>
    <n v="12102"/>
    <n v="0"/>
    <s v="Y"/>
    <x v="1"/>
    <n v="19"/>
    <n v="3"/>
    <n v="4"/>
    <n v="80"/>
    <n v="1"/>
    <n v="3"/>
    <n v="3"/>
    <n v="3"/>
    <x v="4"/>
    <m/>
    <n v="2"/>
    <n v="1"/>
    <n v="2"/>
  </r>
  <r>
    <n v="42"/>
    <x v="1"/>
    <x v="0"/>
    <n v="1265"/>
    <x v="1"/>
    <n v="3"/>
    <n v="3"/>
    <x v="0"/>
    <n v="1"/>
    <n v="894"/>
    <n v="3"/>
    <x v="0"/>
    <n v="95"/>
    <n v="4"/>
    <n v="2"/>
    <x v="2"/>
    <n v="4"/>
    <x v="1"/>
    <n v="5231"/>
    <n v="23726"/>
    <n v="2"/>
    <s v="Y"/>
    <x v="0"/>
    <n v="13"/>
    <n v="3"/>
    <n v="2"/>
    <n v="80"/>
    <n v="1"/>
    <n v="17"/>
    <n v="1"/>
    <n v="2"/>
    <x v="8"/>
    <m/>
    <n v="3"/>
    <n v="1"/>
    <n v="3"/>
  </r>
  <r>
    <n v="31"/>
    <x v="1"/>
    <x v="0"/>
    <n v="1222"/>
    <x v="1"/>
    <n v="11"/>
    <n v="4"/>
    <x v="0"/>
    <n v="1"/>
    <n v="895"/>
    <n v="4"/>
    <x v="1"/>
    <n v="48"/>
    <n v="3"/>
    <n v="1"/>
    <x v="1"/>
    <n v="4"/>
    <x v="1"/>
    <n v="2356"/>
    <n v="14871"/>
    <n v="3"/>
    <s v="Y"/>
    <x v="0"/>
    <n v="19"/>
    <n v="3"/>
    <n v="2"/>
    <n v="80"/>
    <n v="1"/>
    <n v="8"/>
    <n v="2"/>
    <n v="3"/>
    <x v="0"/>
    <m/>
    <n v="4"/>
    <n v="0"/>
    <n v="2"/>
  </r>
  <r>
    <n v="29"/>
    <x v="0"/>
    <x v="0"/>
    <n v="341"/>
    <x v="0"/>
    <n v="1"/>
    <n v="3"/>
    <x v="2"/>
    <n v="1"/>
    <n v="896"/>
    <n v="2"/>
    <x v="0"/>
    <n v="48"/>
    <n v="2"/>
    <n v="1"/>
    <x v="6"/>
    <n v="3"/>
    <x v="2"/>
    <n v="2800"/>
    <n v="23522"/>
    <n v="6"/>
    <s v="Y"/>
    <x v="0"/>
    <n v="19"/>
    <n v="3"/>
    <n v="3"/>
    <n v="80"/>
    <n v="3"/>
    <n v="5"/>
    <n v="3"/>
    <n v="3"/>
    <x v="11"/>
    <m/>
    <n v="2"/>
    <n v="0"/>
    <n v="2"/>
  </r>
  <r>
    <n v="53"/>
    <x v="1"/>
    <x v="0"/>
    <n v="868"/>
    <x v="0"/>
    <n v="8"/>
    <n v="3"/>
    <x v="3"/>
    <n v="1"/>
    <n v="897"/>
    <n v="1"/>
    <x v="1"/>
    <n v="73"/>
    <n v="3"/>
    <n v="4"/>
    <x v="0"/>
    <n v="4"/>
    <x v="1"/>
    <n v="11836"/>
    <n v="22789"/>
    <n v="5"/>
    <s v="Y"/>
    <x v="1"/>
    <n v="14"/>
    <n v="3"/>
    <n v="3"/>
    <n v="80"/>
    <n v="1"/>
    <n v="28"/>
    <n v="3"/>
    <n v="3"/>
    <x v="4"/>
    <m/>
    <n v="0"/>
    <n v="2"/>
    <n v="2"/>
  </r>
  <r>
    <n v="35"/>
    <x v="1"/>
    <x v="0"/>
    <n v="672"/>
    <x v="1"/>
    <n v="25"/>
    <n v="3"/>
    <x v="4"/>
    <n v="1"/>
    <n v="899"/>
    <n v="4"/>
    <x v="1"/>
    <n v="78"/>
    <n v="2"/>
    <n v="3"/>
    <x v="3"/>
    <n v="2"/>
    <x v="1"/>
    <n v="10903"/>
    <n v="9129"/>
    <n v="3"/>
    <s v="Y"/>
    <x v="1"/>
    <n v="16"/>
    <n v="3"/>
    <n v="1"/>
    <n v="80"/>
    <n v="0"/>
    <n v="16"/>
    <n v="2"/>
    <n v="3"/>
    <x v="20"/>
    <m/>
    <n v="10"/>
    <n v="4"/>
    <n v="8"/>
  </r>
  <r>
    <n v="37"/>
    <x v="1"/>
    <x v="1"/>
    <n v="1231"/>
    <x v="0"/>
    <n v="21"/>
    <n v="2"/>
    <x v="2"/>
    <n v="1"/>
    <n v="900"/>
    <n v="3"/>
    <x v="0"/>
    <n v="54"/>
    <n v="3"/>
    <n v="1"/>
    <x v="6"/>
    <n v="4"/>
    <x v="1"/>
    <n v="2973"/>
    <n v="21222"/>
    <n v="5"/>
    <s v="Y"/>
    <x v="1"/>
    <n v="15"/>
    <n v="3"/>
    <n v="2"/>
    <n v="80"/>
    <n v="1"/>
    <n v="10"/>
    <n v="3"/>
    <n v="3"/>
    <x v="8"/>
    <m/>
    <n v="4"/>
    <n v="0"/>
    <n v="0"/>
  </r>
  <r>
    <n v="53"/>
    <x v="1"/>
    <x v="0"/>
    <n v="102"/>
    <x v="1"/>
    <n v="23"/>
    <n v="4"/>
    <x v="0"/>
    <n v="1"/>
    <n v="901"/>
    <n v="4"/>
    <x v="0"/>
    <n v="72"/>
    <n v="3"/>
    <n v="4"/>
    <x v="7"/>
    <n v="4"/>
    <x v="0"/>
    <n v="14275"/>
    <n v="20206"/>
    <n v="6"/>
    <s v="Y"/>
    <x v="1"/>
    <n v="18"/>
    <n v="3"/>
    <n v="3"/>
    <n v="80"/>
    <n v="0"/>
    <n v="33"/>
    <n v="0"/>
    <n v="3"/>
    <x v="12"/>
    <m/>
    <n v="9"/>
    <n v="3"/>
    <n v="8"/>
  </r>
  <r>
    <n v="43"/>
    <x v="1"/>
    <x v="1"/>
    <n v="422"/>
    <x v="1"/>
    <n v="1"/>
    <n v="3"/>
    <x v="0"/>
    <n v="1"/>
    <n v="902"/>
    <n v="4"/>
    <x v="0"/>
    <n v="33"/>
    <n v="3"/>
    <n v="2"/>
    <x v="4"/>
    <n v="4"/>
    <x v="1"/>
    <n v="5562"/>
    <n v="21782"/>
    <n v="4"/>
    <s v="Y"/>
    <x v="1"/>
    <n v="13"/>
    <n v="3"/>
    <n v="2"/>
    <n v="80"/>
    <n v="1"/>
    <n v="12"/>
    <n v="2"/>
    <n v="2"/>
    <x v="8"/>
    <m/>
    <n v="2"/>
    <n v="2"/>
    <n v="2"/>
  </r>
  <r>
    <n v="47"/>
    <x v="1"/>
    <x v="0"/>
    <n v="249"/>
    <x v="0"/>
    <n v="2"/>
    <n v="2"/>
    <x v="3"/>
    <n v="1"/>
    <n v="903"/>
    <n v="3"/>
    <x v="0"/>
    <n v="35"/>
    <n v="3"/>
    <n v="2"/>
    <x v="0"/>
    <n v="4"/>
    <x v="1"/>
    <n v="4537"/>
    <n v="17783"/>
    <n v="0"/>
    <s v="Y"/>
    <x v="0"/>
    <n v="22"/>
    <n v="4"/>
    <n v="1"/>
    <n v="80"/>
    <n v="1"/>
    <n v="8"/>
    <n v="2"/>
    <n v="3"/>
    <x v="5"/>
    <m/>
    <n v="6"/>
    <n v="7"/>
    <n v="7"/>
  </r>
  <r>
    <n v="37"/>
    <x v="1"/>
    <x v="2"/>
    <n v="1252"/>
    <x v="0"/>
    <n v="19"/>
    <n v="2"/>
    <x v="2"/>
    <n v="1"/>
    <n v="904"/>
    <n v="1"/>
    <x v="1"/>
    <n v="32"/>
    <n v="3"/>
    <n v="3"/>
    <x v="0"/>
    <n v="2"/>
    <x v="0"/>
    <n v="7642"/>
    <n v="4814"/>
    <n v="1"/>
    <s v="Y"/>
    <x v="0"/>
    <n v="13"/>
    <n v="3"/>
    <n v="4"/>
    <n v="80"/>
    <n v="0"/>
    <n v="10"/>
    <n v="2"/>
    <n v="3"/>
    <x v="1"/>
    <m/>
    <n v="0"/>
    <n v="0"/>
    <n v="9"/>
  </r>
  <r>
    <n v="50"/>
    <x v="1"/>
    <x v="2"/>
    <n v="881"/>
    <x v="1"/>
    <n v="2"/>
    <n v="4"/>
    <x v="0"/>
    <n v="1"/>
    <n v="905"/>
    <n v="1"/>
    <x v="1"/>
    <n v="98"/>
    <n v="3"/>
    <n v="4"/>
    <x v="5"/>
    <n v="1"/>
    <x v="2"/>
    <n v="17924"/>
    <n v="4544"/>
    <n v="1"/>
    <s v="Y"/>
    <x v="1"/>
    <n v="11"/>
    <n v="3"/>
    <n v="4"/>
    <n v="80"/>
    <n v="1"/>
    <n v="31"/>
    <n v="3"/>
    <n v="3"/>
    <x v="31"/>
    <m/>
    <n v="6"/>
    <n v="14"/>
    <n v="7"/>
  </r>
  <r>
    <n v="39"/>
    <x v="1"/>
    <x v="0"/>
    <n v="1383"/>
    <x v="2"/>
    <n v="2"/>
    <n v="3"/>
    <x v="0"/>
    <n v="1"/>
    <n v="909"/>
    <n v="4"/>
    <x v="0"/>
    <n v="42"/>
    <n v="2"/>
    <n v="2"/>
    <x v="8"/>
    <n v="4"/>
    <x v="1"/>
    <n v="5204"/>
    <n v="7790"/>
    <n v="8"/>
    <s v="Y"/>
    <x v="1"/>
    <n v="11"/>
    <n v="3"/>
    <n v="3"/>
    <n v="80"/>
    <n v="2"/>
    <n v="13"/>
    <n v="2"/>
    <n v="3"/>
    <x v="8"/>
    <m/>
    <n v="4"/>
    <n v="0"/>
    <n v="4"/>
  </r>
  <r>
    <n v="33"/>
    <x v="1"/>
    <x v="0"/>
    <n v="1075"/>
    <x v="2"/>
    <n v="3"/>
    <n v="2"/>
    <x v="5"/>
    <n v="1"/>
    <n v="910"/>
    <n v="4"/>
    <x v="1"/>
    <n v="57"/>
    <n v="3"/>
    <n v="1"/>
    <x v="8"/>
    <n v="2"/>
    <x v="2"/>
    <n v="2277"/>
    <n v="22650"/>
    <n v="3"/>
    <s v="Y"/>
    <x v="0"/>
    <n v="11"/>
    <n v="3"/>
    <n v="3"/>
    <n v="80"/>
    <n v="1"/>
    <n v="7"/>
    <n v="4"/>
    <n v="4"/>
    <x v="9"/>
    <m/>
    <n v="3"/>
    <n v="0"/>
    <n v="3"/>
  </r>
  <r>
    <n v="32"/>
    <x v="0"/>
    <x v="0"/>
    <n v="374"/>
    <x v="1"/>
    <n v="25"/>
    <n v="4"/>
    <x v="0"/>
    <n v="1"/>
    <n v="911"/>
    <n v="1"/>
    <x v="1"/>
    <n v="87"/>
    <n v="3"/>
    <n v="1"/>
    <x v="2"/>
    <n v="4"/>
    <x v="0"/>
    <n v="2795"/>
    <n v="18016"/>
    <n v="1"/>
    <s v="Y"/>
    <x v="0"/>
    <n v="24"/>
    <n v="4"/>
    <n v="3"/>
    <n v="80"/>
    <n v="0"/>
    <n v="1"/>
    <n v="2"/>
    <n v="1"/>
    <x v="6"/>
    <m/>
    <n v="0"/>
    <n v="0"/>
    <n v="1"/>
  </r>
  <r>
    <n v="29"/>
    <x v="1"/>
    <x v="0"/>
    <n v="1086"/>
    <x v="1"/>
    <n v="7"/>
    <n v="1"/>
    <x v="2"/>
    <n v="1"/>
    <n v="912"/>
    <n v="1"/>
    <x v="0"/>
    <n v="62"/>
    <n v="2"/>
    <n v="1"/>
    <x v="2"/>
    <n v="4"/>
    <x v="2"/>
    <n v="2532"/>
    <n v="6054"/>
    <n v="6"/>
    <s v="Y"/>
    <x v="1"/>
    <n v="14"/>
    <n v="3"/>
    <n v="3"/>
    <n v="80"/>
    <n v="3"/>
    <n v="8"/>
    <n v="5"/>
    <n v="3"/>
    <x v="9"/>
    <m/>
    <n v="3"/>
    <n v="0"/>
    <n v="3"/>
  </r>
  <r>
    <n v="44"/>
    <x v="1"/>
    <x v="0"/>
    <n v="661"/>
    <x v="1"/>
    <n v="9"/>
    <n v="2"/>
    <x v="0"/>
    <n v="1"/>
    <n v="913"/>
    <n v="2"/>
    <x v="1"/>
    <n v="61"/>
    <n v="3"/>
    <n v="1"/>
    <x v="1"/>
    <n v="1"/>
    <x v="1"/>
    <n v="2559"/>
    <n v="7508"/>
    <n v="1"/>
    <s v="Y"/>
    <x v="0"/>
    <n v="13"/>
    <n v="3"/>
    <n v="4"/>
    <n v="80"/>
    <n v="0"/>
    <n v="8"/>
    <n v="0"/>
    <n v="3"/>
    <x v="3"/>
    <m/>
    <n v="7"/>
    <n v="7"/>
    <n v="1"/>
  </r>
  <r>
    <n v="28"/>
    <x v="1"/>
    <x v="0"/>
    <n v="821"/>
    <x v="0"/>
    <n v="5"/>
    <n v="4"/>
    <x v="2"/>
    <n v="1"/>
    <n v="916"/>
    <n v="1"/>
    <x v="1"/>
    <n v="98"/>
    <n v="3"/>
    <n v="2"/>
    <x v="0"/>
    <n v="4"/>
    <x v="0"/>
    <n v="4908"/>
    <n v="24252"/>
    <n v="1"/>
    <s v="Y"/>
    <x v="1"/>
    <n v="14"/>
    <n v="3"/>
    <n v="2"/>
    <n v="80"/>
    <n v="0"/>
    <n v="4"/>
    <n v="3"/>
    <n v="3"/>
    <x v="9"/>
    <m/>
    <n v="2"/>
    <n v="0"/>
    <n v="2"/>
  </r>
  <r>
    <n v="58"/>
    <x v="0"/>
    <x v="1"/>
    <n v="781"/>
    <x v="1"/>
    <n v="2"/>
    <n v="1"/>
    <x v="0"/>
    <n v="1"/>
    <n v="918"/>
    <n v="4"/>
    <x v="1"/>
    <n v="57"/>
    <n v="2"/>
    <n v="1"/>
    <x v="2"/>
    <n v="4"/>
    <x v="2"/>
    <n v="2380"/>
    <n v="13384"/>
    <n v="9"/>
    <s v="Y"/>
    <x v="0"/>
    <n v="14"/>
    <n v="3"/>
    <n v="4"/>
    <n v="80"/>
    <n v="1"/>
    <n v="3"/>
    <n v="3"/>
    <n v="2"/>
    <x v="6"/>
    <m/>
    <n v="0"/>
    <n v="0"/>
    <n v="0"/>
  </r>
  <r>
    <n v="43"/>
    <x v="1"/>
    <x v="0"/>
    <n v="177"/>
    <x v="1"/>
    <n v="8"/>
    <n v="3"/>
    <x v="0"/>
    <n v="1"/>
    <n v="920"/>
    <n v="1"/>
    <x v="0"/>
    <n v="55"/>
    <n v="3"/>
    <n v="2"/>
    <x v="3"/>
    <n v="2"/>
    <x v="2"/>
    <n v="4765"/>
    <n v="23814"/>
    <n v="4"/>
    <s v="Y"/>
    <x v="1"/>
    <n v="21"/>
    <n v="4"/>
    <n v="3"/>
    <n v="80"/>
    <n v="1"/>
    <n v="4"/>
    <n v="2"/>
    <n v="4"/>
    <x v="6"/>
    <m/>
    <n v="0"/>
    <n v="0"/>
    <n v="0"/>
  </r>
  <r>
    <n v="20"/>
    <x v="0"/>
    <x v="0"/>
    <n v="500"/>
    <x v="0"/>
    <n v="2"/>
    <n v="3"/>
    <x v="2"/>
    <n v="1"/>
    <n v="922"/>
    <n v="3"/>
    <x v="0"/>
    <n v="49"/>
    <n v="2"/>
    <n v="1"/>
    <x v="6"/>
    <n v="3"/>
    <x v="0"/>
    <n v="2044"/>
    <n v="22052"/>
    <n v="1"/>
    <s v="Y"/>
    <x v="1"/>
    <n v="13"/>
    <n v="3"/>
    <n v="4"/>
    <n v="80"/>
    <n v="0"/>
    <n v="2"/>
    <n v="3"/>
    <n v="2"/>
    <x v="4"/>
    <m/>
    <n v="2"/>
    <n v="0"/>
    <n v="2"/>
  </r>
  <r>
    <n v="21"/>
    <x v="0"/>
    <x v="0"/>
    <n v="1427"/>
    <x v="1"/>
    <n v="18"/>
    <n v="1"/>
    <x v="1"/>
    <n v="1"/>
    <n v="923"/>
    <n v="4"/>
    <x v="0"/>
    <n v="65"/>
    <n v="3"/>
    <n v="1"/>
    <x v="1"/>
    <n v="4"/>
    <x v="0"/>
    <n v="2693"/>
    <n v="8870"/>
    <n v="1"/>
    <s v="Y"/>
    <x v="1"/>
    <n v="19"/>
    <n v="3"/>
    <n v="1"/>
    <n v="80"/>
    <n v="0"/>
    <n v="1"/>
    <n v="3"/>
    <n v="2"/>
    <x v="6"/>
    <m/>
    <n v="0"/>
    <n v="0"/>
    <n v="0"/>
  </r>
  <r>
    <n v="36"/>
    <x v="1"/>
    <x v="0"/>
    <n v="1425"/>
    <x v="1"/>
    <n v="14"/>
    <n v="1"/>
    <x v="0"/>
    <n v="1"/>
    <n v="924"/>
    <n v="3"/>
    <x v="1"/>
    <n v="68"/>
    <n v="3"/>
    <n v="2"/>
    <x v="4"/>
    <n v="4"/>
    <x v="1"/>
    <n v="6586"/>
    <n v="4821"/>
    <n v="0"/>
    <s v="Y"/>
    <x v="0"/>
    <n v="17"/>
    <n v="3"/>
    <n v="1"/>
    <n v="80"/>
    <n v="1"/>
    <n v="17"/>
    <n v="2"/>
    <n v="2"/>
    <x v="22"/>
    <m/>
    <n v="8"/>
    <n v="4"/>
    <n v="11"/>
  </r>
  <r>
    <n v="47"/>
    <x v="1"/>
    <x v="0"/>
    <n v="1454"/>
    <x v="0"/>
    <n v="2"/>
    <n v="4"/>
    <x v="0"/>
    <n v="1"/>
    <n v="925"/>
    <n v="4"/>
    <x v="0"/>
    <n v="65"/>
    <n v="2"/>
    <n v="1"/>
    <x v="6"/>
    <n v="4"/>
    <x v="0"/>
    <n v="3294"/>
    <n v="13137"/>
    <n v="1"/>
    <s v="Y"/>
    <x v="0"/>
    <n v="18"/>
    <n v="3"/>
    <n v="1"/>
    <n v="80"/>
    <n v="0"/>
    <n v="3"/>
    <n v="3"/>
    <n v="2"/>
    <x v="11"/>
    <m/>
    <n v="2"/>
    <n v="1"/>
    <n v="2"/>
  </r>
  <r>
    <n v="22"/>
    <x v="0"/>
    <x v="0"/>
    <n v="617"/>
    <x v="1"/>
    <n v="3"/>
    <n v="1"/>
    <x v="0"/>
    <n v="1"/>
    <n v="926"/>
    <n v="2"/>
    <x v="0"/>
    <n v="34"/>
    <n v="3"/>
    <n v="2"/>
    <x v="3"/>
    <n v="3"/>
    <x v="1"/>
    <n v="4171"/>
    <n v="10022"/>
    <n v="0"/>
    <s v="Y"/>
    <x v="0"/>
    <n v="19"/>
    <n v="3"/>
    <n v="1"/>
    <n v="80"/>
    <n v="1"/>
    <n v="4"/>
    <n v="3"/>
    <n v="4"/>
    <x v="11"/>
    <m/>
    <n v="2"/>
    <n v="0"/>
    <n v="2"/>
  </r>
  <r>
    <n v="41"/>
    <x v="0"/>
    <x v="0"/>
    <n v="1085"/>
    <x v="1"/>
    <n v="2"/>
    <n v="4"/>
    <x v="0"/>
    <n v="1"/>
    <n v="927"/>
    <n v="2"/>
    <x v="0"/>
    <n v="57"/>
    <n v="1"/>
    <n v="1"/>
    <x v="2"/>
    <n v="4"/>
    <x v="2"/>
    <n v="2778"/>
    <n v="17725"/>
    <n v="4"/>
    <s v="Y"/>
    <x v="0"/>
    <n v="13"/>
    <n v="3"/>
    <n v="3"/>
    <n v="80"/>
    <n v="1"/>
    <n v="10"/>
    <n v="1"/>
    <n v="2"/>
    <x v="5"/>
    <m/>
    <n v="7"/>
    <n v="1"/>
    <n v="0"/>
  </r>
  <r>
    <n v="28"/>
    <x v="1"/>
    <x v="0"/>
    <n v="995"/>
    <x v="1"/>
    <n v="9"/>
    <n v="3"/>
    <x v="2"/>
    <n v="1"/>
    <n v="930"/>
    <n v="3"/>
    <x v="0"/>
    <n v="77"/>
    <n v="3"/>
    <n v="1"/>
    <x v="1"/>
    <n v="3"/>
    <x v="2"/>
    <n v="2377"/>
    <n v="9834"/>
    <n v="5"/>
    <s v="Y"/>
    <x v="1"/>
    <n v="18"/>
    <n v="3"/>
    <n v="2"/>
    <n v="80"/>
    <n v="1"/>
    <n v="6"/>
    <n v="2"/>
    <n v="3"/>
    <x v="4"/>
    <m/>
    <n v="2"/>
    <n v="2"/>
    <n v="2"/>
  </r>
  <r>
    <n v="39"/>
    <x v="0"/>
    <x v="0"/>
    <n v="1122"/>
    <x v="1"/>
    <n v="6"/>
    <n v="3"/>
    <x v="2"/>
    <n v="1"/>
    <n v="932"/>
    <n v="4"/>
    <x v="1"/>
    <n v="70"/>
    <n v="3"/>
    <n v="1"/>
    <x v="2"/>
    <n v="1"/>
    <x v="1"/>
    <n v="2404"/>
    <n v="4303"/>
    <n v="7"/>
    <s v="Y"/>
    <x v="0"/>
    <n v="21"/>
    <n v="4"/>
    <n v="4"/>
    <n v="80"/>
    <n v="0"/>
    <n v="8"/>
    <n v="2"/>
    <n v="1"/>
    <x v="4"/>
    <m/>
    <n v="2"/>
    <n v="2"/>
    <n v="2"/>
  </r>
  <r>
    <n v="27"/>
    <x v="1"/>
    <x v="0"/>
    <n v="618"/>
    <x v="1"/>
    <n v="4"/>
    <n v="3"/>
    <x v="0"/>
    <n v="1"/>
    <n v="933"/>
    <n v="2"/>
    <x v="0"/>
    <n v="76"/>
    <n v="3"/>
    <n v="1"/>
    <x v="1"/>
    <n v="3"/>
    <x v="0"/>
    <n v="2318"/>
    <n v="17808"/>
    <n v="1"/>
    <s v="Y"/>
    <x v="1"/>
    <n v="19"/>
    <n v="3"/>
    <n v="3"/>
    <n v="80"/>
    <n v="0"/>
    <n v="1"/>
    <n v="2"/>
    <n v="3"/>
    <x v="6"/>
    <m/>
    <n v="1"/>
    <n v="0"/>
    <n v="0"/>
  </r>
  <r>
    <n v="34"/>
    <x v="1"/>
    <x v="0"/>
    <n v="546"/>
    <x v="1"/>
    <n v="10"/>
    <n v="3"/>
    <x v="0"/>
    <n v="1"/>
    <n v="934"/>
    <n v="2"/>
    <x v="1"/>
    <n v="83"/>
    <n v="3"/>
    <n v="1"/>
    <x v="2"/>
    <n v="2"/>
    <x v="2"/>
    <n v="2008"/>
    <n v="6896"/>
    <n v="1"/>
    <s v="Y"/>
    <x v="1"/>
    <n v="14"/>
    <n v="3"/>
    <n v="2"/>
    <n v="80"/>
    <n v="2"/>
    <n v="1"/>
    <n v="3"/>
    <n v="3"/>
    <x v="6"/>
    <m/>
    <n v="0"/>
    <n v="1"/>
    <n v="0"/>
  </r>
  <r>
    <n v="42"/>
    <x v="1"/>
    <x v="0"/>
    <n v="462"/>
    <x v="0"/>
    <n v="14"/>
    <n v="2"/>
    <x v="2"/>
    <n v="1"/>
    <n v="936"/>
    <n v="3"/>
    <x v="0"/>
    <n v="68"/>
    <n v="2"/>
    <n v="2"/>
    <x v="0"/>
    <n v="3"/>
    <x v="0"/>
    <n v="6244"/>
    <n v="7824"/>
    <n v="7"/>
    <s v="Y"/>
    <x v="1"/>
    <n v="17"/>
    <n v="3"/>
    <n v="1"/>
    <n v="80"/>
    <n v="0"/>
    <n v="10"/>
    <n v="6"/>
    <n v="3"/>
    <x v="8"/>
    <m/>
    <n v="4"/>
    <n v="0"/>
    <n v="3"/>
  </r>
  <r>
    <n v="33"/>
    <x v="1"/>
    <x v="0"/>
    <n v="1198"/>
    <x v="1"/>
    <n v="1"/>
    <n v="4"/>
    <x v="1"/>
    <n v="1"/>
    <n v="939"/>
    <n v="3"/>
    <x v="1"/>
    <n v="100"/>
    <n v="2"/>
    <n v="1"/>
    <x v="1"/>
    <n v="1"/>
    <x v="0"/>
    <n v="2799"/>
    <n v="3339"/>
    <n v="3"/>
    <s v="Y"/>
    <x v="0"/>
    <n v="11"/>
    <n v="3"/>
    <n v="2"/>
    <n v="80"/>
    <n v="0"/>
    <n v="6"/>
    <n v="1"/>
    <n v="3"/>
    <x v="11"/>
    <m/>
    <n v="2"/>
    <n v="0"/>
    <n v="2"/>
  </r>
  <r>
    <n v="58"/>
    <x v="1"/>
    <x v="0"/>
    <n v="1272"/>
    <x v="1"/>
    <n v="5"/>
    <n v="3"/>
    <x v="4"/>
    <n v="1"/>
    <n v="940"/>
    <n v="3"/>
    <x v="0"/>
    <n v="37"/>
    <n v="2"/>
    <n v="3"/>
    <x v="4"/>
    <n v="2"/>
    <x v="2"/>
    <n v="10552"/>
    <n v="9255"/>
    <n v="2"/>
    <s v="Y"/>
    <x v="0"/>
    <n v="13"/>
    <n v="3"/>
    <n v="4"/>
    <n v="80"/>
    <n v="1"/>
    <n v="24"/>
    <n v="3"/>
    <n v="3"/>
    <x v="0"/>
    <m/>
    <n v="0"/>
    <n v="0"/>
    <n v="4"/>
  </r>
  <r>
    <n v="31"/>
    <x v="1"/>
    <x v="0"/>
    <n v="154"/>
    <x v="0"/>
    <n v="7"/>
    <n v="4"/>
    <x v="0"/>
    <n v="1"/>
    <n v="941"/>
    <n v="2"/>
    <x v="1"/>
    <n v="41"/>
    <n v="2"/>
    <n v="1"/>
    <x v="6"/>
    <n v="3"/>
    <x v="1"/>
    <n v="2329"/>
    <n v="11737"/>
    <n v="3"/>
    <s v="Y"/>
    <x v="1"/>
    <n v="15"/>
    <n v="3"/>
    <n v="2"/>
    <n v="80"/>
    <n v="0"/>
    <n v="13"/>
    <n v="2"/>
    <n v="4"/>
    <x v="5"/>
    <m/>
    <n v="7"/>
    <n v="5"/>
    <n v="2"/>
  </r>
  <r>
    <n v="35"/>
    <x v="1"/>
    <x v="0"/>
    <n v="1137"/>
    <x v="1"/>
    <n v="21"/>
    <n v="1"/>
    <x v="0"/>
    <n v="1"/>
    <n v="942"/>
    <n v="4"/>
    <x v="0"/>
    <n v="51"/>
    <n v="3"/>
    <n v="2"/>
    <x v="4"/>
    <n v="4"/>
    <x v="1"/>
    <n v="4014"/>
    <n v="19170"/>
    <n v="1"/>
    <s v="Y"/>
    <x v="0"/>
    <n v="25"/>
    <n v="4"/>
    <n v="4"/>
    <n v="80"/>
    <n v="1"/>
    <n v="10"/>
    <n v="2"/>
    <n v="1"/>
    <x v="1"/>
    <m/>
    <n v="6"/>
    <n v="0"/>
    <n v="7"/>
  </r>
  <r>
    <n v="49"/>
    <x v="1"/>
    <x v="0"/>
    <n v="527"/>
    <x v="1"/>
    <n v="8"/>
    <n v="2"/>
    <x v="1"/>
    <n v="1"/>
    <n v="944"/>
    <n v="1"/>
    <x v="0"/>
    <n v="51"/>
    <n v="3"/>
    <n v="3"/>
    <x v="2"/>
    <n v="2"/>
    <x v="1"/>
    <n v="7403"/>
    <n v="22477"/>
    <n v="4"/>
    <s v="Y"/>
    <x v="1"/>
    <n v="11"/>
    <n v="3"/>
    <n v="3"/>
    <n v="80"/>
    <n v="1"/>
    <n v="29"/>
    <n v="3"/>
    <n v="2"/>
    <x v="34"/>
    <m/>
    <n v="9"/>
    <n v="1"/>
    <n v="7"/>
  </r>
  <r>
    <n v="48"/>
    <x v="1"/>
    <x v="0"/>
    <n v="1469"/>
    <x v="1"/>
    <n v="20"/>
    <n v="4"/>
    <x v="2"/>
    <n v="1"/>
    <n v="945"/>
    <n v="4"/>
    <x v="1"/>
    <n v="51"/>
    <n v="3"/>
    <n v="1"/>
    <x v="1"/>
    <n v="3"/>
    <x v="1"/>
    <n v="2259"/>
    <n v="5543"/>
    <n v="4"/>
    <s v="Y"/>
    <x v="1"/>
    <n v="17"/>
    <n v="3"/>
    <n v="1"/>
    <n v="80"/>
    <n v="2"/>
    <n v="13"/>
    <n v="2"/>
    <n v="2"/>
    <x v="2"/>
    <m/>
    <n v="0"/>
    <n v="0"/>
    <n v="0"/>
  </r>
  <r>
    <n v="31"/>
    <x v="1"/>
    <x v="2"/>
    <n v="1188"/>
    <x v="0"/>
    <n v="20"/>
    <n v="2"/>
    <x v="3"/>
    <n v="1"/>
    <n v="947"/>
    <n v="4"/>
    <x v="0"/>
    <n v="45"/>
    <n v="3"/>
    <n v="2"/>
    <x v="0"/>
    <n v="3"/>
    <x v="1"/>
    <n v="6932"/>
    <n v="24406"/>
    <n v="1"/>
    <s v="Y"/>
    <x v="1"/>
    <n v="13"/>
    <n v="3"/>
    <n v="4"/>
    <n v="80"/>
    <n v="1"/>
    <n v="9"/>
    <n v="2"/>
    <n v="2"/>
    <x v="7"/>
    <m/>
    <n v="8"/>
    <n v="0"/>
    <n v="0"/>
  </r>
  <r>
    <n v="36"/>
    <x v="1"/>
    <x v="0"/>
    <n v="188"/>
    <x v="1"/>
    <n v="7"/>
    <n v="4"/>
    <x v="1"/>
    <n v="1"/>
    <n v="949"/>
    <n v="2"/>
    <x v="1"/>
    <n v="65"/>
    <n v="3"/>
    <n v="1"/>
    <x v="1"/>
    <n v="4"/>
    <x v="0"/>
    <n v="4678"/>
    <n v="23293"/>
    <n v="2"/>
    <s v="Y"/>
    <x v="1"/>
    <n v="18"/>
    <n v="3"/>
    <n v="3"/>
    <n v="80"/>
    <n v="0"/>
    <n v="8"/>
    <n v="6"/>
    <n v="3"/>
    <x v="0"/>
    <m/>
    <n v="2"/>
    <n v="0"/>
    <n v="1"/>
  </r>
  <r>
    <n v="38"/>
    <x v="1"/>
    <x v="0"/>
    <n v="1333"/>
    <x v="1"/>
    <n v="1"/>
    <n v="3"/>
    <x v="4"/>
    <n v="1"/>
    <n v="950"/>
    <n v="4"/>
    <x v="0"/>
    <n v="80"/>
    <n v="3"/>
    <n v="3"/>
    <x v="7"/>
    <n v="1"/>
    <x v="1"/>
    <n v="13582"/>
    <n v="16292"/>
    <n v="1"/>
    <s v="Y"/>
    <x v="1"/>
    <n v="13"/>
    <n v="3"/>
    <n v="2"/>
    <n v="80"/>
    <n v="1"/>
    <n v="15"/>
    <n v="3"/>
    <n v="3"/>
    <x v="15"/>
    <m/>
    <n v="12"/>
    <n v="5"/>
    <n v="11"/>
  </r>
  <r>
    <n v="32"/>
    <x v="1"/>
    <x v="2"/>
    <n v="1184"/>
    <x v="1"/>
    <n v="1"/>
    <n v="3"/>
    <x v="0"/>
    <n v="1"/>
    <n v="951"/>
    <n v="3"/>
    <x v="0"/>
    <n v="70"/>
    <n v="2"/>
    <n v="1"/>
    <x v="2"/>
    <n v="2"/>
    <x v="1"/>
    <n v="2332"/>
    <n v="3974"/>
    <n v="6"/>
    <s v="Y"/>
    <x v="1"/>
    <n v="20"/>
    <n v="4"/>
    <n v="3"/>
    <n v="80"/>
    <n v="0"/>
    <n v="5"/>
    <n v="3"/>
    <n v="3"/>
    <x v="11"/>
    <m/>
    <n v="0"/>
    <n v="0"/>
    <n v="2"/>
  </r>
  <r>
    <n v="25"/>
    <x v="0"/>
    <x v="0"/>
    <n v="867"/>
    <x v="0"/>
    <n v="19"/>
    <n v="2"/>
    <x v="3"/>
    <n v="1"/>
    <n v="952"/>
    <n v="3"/>
    <x v="1"/>
    <n v="36"/>
    <n v="2"/>
    <n v="1"/>
    <x v="6"/>
    <n v="2"/>
    <x v="1"/>
    <n v="2413"/>
    <n v="18798"/>
    <n v="1"/>
    <s v="Y"/>
    <x v="0"/>
    <n v="18"/>
    <n v="3"/>
    <n v="3"/>
    <n v="80"/>
    <n v="3"/>
    <n v="1"/>
    <n v="2"/>
    <n v="3"/>
    <x v="6"/>
    <m/>
    <n v="0"/>
    <n v="0"/>
    <n v="0"/>
  </r>
  <r>
    <n v="40"/>
    <x v="1"/>
    <x v="0"/>
    <n v="658"/>
    <x v="0"/>
    <n v="10"/>
    <n v="4"/>
    <x v="3"/>
    <n v="1"/>
    <n v="954"/>
    <n v="1"/>
    <x v="1"/>
    <n v="67"/>
    <n v="2"/>
    <n v="3"/>
    <x v="0"/>
    <n v="2"/>
    <x v="2"/>
    <n v="9705"/>
    <n v="20652"/>
    <n v="2"/>
    <s v="Y"/>
    <x v="1"/>
    <n v="12"/>
    <n v="3"/>
    <n v="2"/>
    <n v="80"/>
    <n v="1"/>
    <n v="11"/>
    <n v="2"/>
    <n v="2"/>
    <x v="6"/>
    <m/>
    <n v="0"/>
    <n v="0"/>
    <n v="0"/>
  </r>
  <r>
    <n v="26"/>
    <x v="1"/>
    <x v="1"/>
    <n v="1283"/>
    <x v="0"/>
    <n v="1"/>
    <n v="3"/>
    <x v="2"/>
    <n v="1"/>
    <n v="956"/>
    <n v="3"/>
    <x v="1"/>
    <n v="52"/>
    <n v="2"/>
    <n v="2"/>
    <x v="0"/>
    <n v="1"/>
    <x v="0"/>
    <n v="4294"/>
    <n v="11148"/>
    <n v="1"/>
    <s v="Y"/>
    <x v="1"/>
    <n v="12"/>
    <n v="3"/>
    <n v="2"/>
    <n v="80"/>
    <n v="0"/>
    <n v="7"/>
    <n v="2"/>
    <n v="3"/>
    <x v="5"/>
    <m/>
    <n v="7"/>
    <n v="0"/>
    <n v="7"/>
  </r>
  <r>
    <n v="41"/>
    <x v="1"/>
    <x v="0"/>
    <n v="263"/>
    <x v="1"/>
    <n v="6"/>
    <n v="3"/>
    <x v="2"/>
    <n v="1"/>
    <n v="957"/>
    <n v="4"/>
    <x v="1"/>
    <n v="59"/>
    <n v="3"/>
    <n v="1"/>
    <x v="2"/>
    <n v="1"/>
    <x v="0"/>
    <n v="4721"/>
    <n v="3119"/>
    <n v="2"/>
    <s v="Y"/>
    <x v="0"/>
    <n v="13"/>
    <n v="3"/>
    <n v="3"/>
    <n v="80"/>
    <n v="0"/>
    <n v="20"/>
    <n v="3"/>
    <n v="3"/>
    <x v="29"/>
    <m/>
    <n v="13"/>
    <n v="2"/>
    <n v="17"/>
  </r>
  <r>
    <n v="36"/>
    <x v="1"/>
    <x v="0"/>
    <n v="938"/>
    <x v="1"/>
    <n v="2"/>
    <n v="4"/>
    <x v="2"/>
    <n v="1"/>
    <n v="958"/>
    <n v="3"/>
    <x v="1"/>
    <n v="79"/>
    <n v="3"/>
    <n v="1"/>
    <x v="2"/>
    <n v="3"/>
    <x v="0"/>
    <n v="2519"/>
    <n v="12287"/>
    <n v="4"/>
    <s v="Y"/>
    <x v="1"/>
    <n v="21"/>
    <n v="4"/>
    <n v="3"/>
    <n v="80"/>
    <n v="0"/>
    <n v="16"/>
    <n v="6"/>
    <n v="3"/>
    <x v="19"/>
    <m/>
    <n v="8"/>
    <n v="3"/>
    <n v="9"/>
  </r>
  <r>
    <n v="19"/>
    <x v="0"/>
    <x v="0"/>
    <n v="419"/>
    <x v="0"/>
    <n v="21"/>
    <n v="3"/>
    <x v="1"/>
    <n v="1"/>
    <n v="959"/>
    <n v="4"/>
    <x v="1"/>
    <n v="37"/>
    <n v="2"/>
    <n v="1"/>
    <x v="6"/>
    <n v="2"/>
    <x v="0"/>
    <n v="2121"/>
    <n v="9947"/>
    <n v="1"/>
    <s v="Y"/>
    <x v="0"/>
    <n v="13"/>
    <n v="3"/>
    <n v="2"/>
    <n v="80"/>
    <n v="0"/>
    <n v="1"/>
    <n v="3"/>
    <n v="4"/>
    <x v="6"/>
    <m/>
    <n v="0"/>
    <n v="0"/>
    <n v="0"/>
  </r>
  <r>
    <n v="20"/>
    <x v="0"/>
    <x v="0"/>
    <n v="129"/>
    <x v="1"/>
    <n v="4"/>
    <n v="3"/>
    <x v="4"/>
    <n v="1"/>
    <n v="960"/>
    <n v="1"/>
    <x v="1"/>
    <n v="84"/>
    <n v="3"/>
    <n v="1"/>
    <x v="2"/>
    <n v="1"/>
    <x v="0"/>
    <n v="2973"/>
    <n v="13008"/>
    <n v="1"/>
    <s v="Y"/>
    <x v="1"/>
    <n v="19"/>
    <n v="3"/>
    <n v="2"/>
    <n v="80"/>
    <n v="0"/>
    <n v="1"/>
    <n v="2"/>
    <n v="3"/>
    <x v="6"/>
    <m/>
    <n v="0"/>
    <n v="0"/>
    <n v="0"/>
  </r>
  <r>
    <n v="31"/>
    <x v="1"/>
    <x v="0"/>
    <n v="616"/>
    <x v="1"/>
    <n v="12"/>
    <n v="3"/>
    <x v="2"/>
    <n v="1"/>
    <n v="961"/>
    <n v="4"/>
    <x v="0"/>
    <n v="41"/>
    <n v="3"/>
    <n v="2"/>
    <x v="4"/>
    <n v="4"/>
    <x v="1"/>
    <n v="5855"/>
    <n v="17369"/>
    <n v="0"/>
    <s v="Y"/>
    <x v="0"/>
    <n v="11"/>
    <n v="3"/>
    <n v="3"/>
    <n v="80"/>
    <n v="2"/>
    <n v="10"/>
    <n v="2"/>
    <n v="1"/>
    <x v="7"/>
    <m/>
    <n v="7"/>
    <n v="8"/>
    <n v="5"/>
  </r>
  <r>
    <n v="40"/>
    <x v="1"/>
    <x v="1"/>
    <n v="1469"/>
    <x v="1"/>
    <n v="9"/>
    <n v="4"/>
    <x v="2"/>
    <n v="1"/>
    <n v="964"/>
    <n v="4"/>
    <x v="1"/>
    <n v="35"/>
    <n v="3"/>
    <n v="1"/>
    <x v="1"/>
    <n v="2"/>
    <x v="2"/>
    <n v="3617"/>
    <n v="25063"/>
    <n v="8"/>
    <s v="Y"/>
    <x v="0"/>
    <n v="14"/>
    <n v="3"/>
    <n v="4"/>
    <n v="80"/>
    <n v="1"/>
    <n v="3"/>
    <n v="2"/>
    <n v="3"/>
    <x v="6"/>
    <m/>
    <n v="1"/>
    <n v="0"/>
    <n v="0"/>
  </r>
  <r>
    <n v="32"/>
    <x v="1"/>
    <x v="0"/>
    <n v="498"/>
    <x v="1"/>
    <n v="3"/>
    <n v="4"/>
    <x v="2"/>
    <n v="1"/>
    <n v="966"/>
    <n v="3"/>
    <x v="0"/>
    <n v="93"/>
    <n v="3"/>
    <n v="2"/>
    <x v="3"/>
    <n v="1"/>
    <x v="1"/>
    <n v="6725"/>
    <n v="13554"/>
    <n v="1"/>
    <s v="Y"/>
    <x v="1"/>
    <n v="12"/>
    <n v="3"/>
    <n v="3"/>
    <n v="80"/>
    <n v="1"/>
    <n v="8"/>
    <n v="2"/>
    <n v="4"/>
    <x v="3"/>
    <m/>
    <n v="7"/>
    <n v="6"/>
    <n v="3"/>
  </r>
  <r>
    <n v="36"/>
    <x v="0"/>
    <x v="0"/>
    <n v="530"/>
    <x v="0"/>
    <n v="3"/>
    <n v="1"/>
    <x v="0"/>
    <n v="1"/>
    <n v="967"/>
    <n v="3"/>
    <x v="1"/>
    <n v="51"/>
    <n v="2"/>
    <n v="3"/>
    <x v="0"/>
    <n v="4"/>
    <x v="1"/>
    <n v="10325"/>
    <n v="5518"/>
    <n v="1"/>
    <s v="Y"/>
    <x v="0"/>
    <n v="11"/>
    <n v="3"/>
    <n v="1"/>
    <n v="80"/>
    <n v="1"/>
    <n v="16"/>
    <n v="6"/>
    <n v="3"/>
    <x v="22"/>
    <m/>
    <n v="7"/>
    <n v="3"/>
    <n v="7"/>
  </r>
  <r>
    <n v="33"/>
    <x v="1"/>
    <x v="0"/>
    <n v="1069"/>
    <x v="1"/>
    <n v="1"/>
    <n v="3"/>
    <x v="0"/>
    <n v="1"/>
    <n v="969"/>
    <n v="2"/>
    <x v="0"/>
    <n v="42"/>
    <n v="2"/>
    <n v="2"/>
    <x v="4"/>
    <n v="4"/>
    <x v="0"/>
    <n v="6949"/>
    <n v="12291"/>
    <n v="0"/>
    <s v="Y"/>
    <x v="1"/>
    <n v="14"/>
    <n v="3"/>
    <n v="1"/>
    <n v="80"/>
    <n v="0"/>
    <n v="6"/>
    <n v="3"/>
    <n v="3"/>
    <x v="8"/>
    <m/>
    <n v="0"/>
    <n v="1"/>
    <n v="4"/>
  </r>
  <r>
    <n v="37"/>
    <x v="0"/>
    <x v="0"/>
    <n v="625"/>
    <x v="0"/>
    <n v="1"/>
    <n v="4"/>
    <x v="0"/>
    <n v="1"/>
    <n v="970"/>
    <n v="1"/>
    <x v="1"/>
    <n v="46"/>
    <n v="2"/>
    <n v="3"/>
    <x v="0"/>
    <n v="3"/>
    <x v="1"/>
    <n v="10609"/>
    <n v="14922"/>
    <n v="5"/>
    <s v="Y"/>
    <x v="1"/>
    <n v="11"/>
    <n v="3"/>
    <n v="3"/>
    <n v="80"/>
    <n v="0"/>
    <n v="17"/>
    <n v="2"/>
    <n v="1"/>
    <x v="13"/>
    <m/>
    <n v="1"/>
    <n v="11"/>
    <n v="7"/>
  </r>
  <r>
    <n v="45"/>
    <x v="1"/>
    <x v="2"/>
    <n v="805"/>
    <x v="1"/>
    <n v="4"/>
    <n v="2"/>
    <x v="0"/>
    <n v="1"/>
    <n v="972"/>
    <n v="3"/>
    <x v="1"/>
    <n v="57"/>
    <n v="3"/>
    <n v="2"/>
    <x v="2"/>
    <n v="2"/>
    <x v="1"/>
    <n v="4447"/>
    <n v="23163"/>
    <n v="1"/>
    <s v="Y"/>
    <x v="1"/>
    <n v="12"/>
    <n v="3"/>
    <n v="2"/>
    <n v="80"/>
    <n v="0"/>
    <n v="9"/>
    <n v="5"/>
    <n v="2"/>
    <x v="7"/>
    <m/>
    <n v="7"/>
    <n v="0"/>
    <n v="8"/>
  </r>
  <r>
    <n v="29"/>
    <x v="1"/>
    <x v="1"/>
    <n v="1404"/>
    <x v="0"/>
    <n v="20"/>
    <n v="3"/>
    <x v="4"/>
    <n v="1"/>
    <n v="974"/>
    <n v="3"/>
    <x v="0"/>
    <n v="84"/>
    <n v="3"/>
    <n v="1"/>
    <x v="6"/>
    <n v="4"/>
    <x v="1"/>
    <n v="2157"/>
    <n v="18203"/>
    <n v="1"/>
    <s v="Y"/>
    <x v="1"/>
    <n v="15"/>
    <n v="3"/>
    <n v="2"/>
    <n v="80"/>
    <n v="1"/>
    <n v="3"/>
    <n v="5"/>
    <n v="3"/>
    <x v="11"/>
    <m/>
    <n v="1"/>
    <n v="0"/>
    <n v="2"/>
  </r>
  <r>
    <n v="35"/>
    <x v="1"/>
    <x v="0"/>
    <n v="1219"/>
    <x v="0"/>
    <n v="18"/>
    <n v="3"/>
    <x v="2"/>
    <n v="1"/>
    <n v="975"/>
    <n v="3"/>
    <x v="0"/>
    <n v="86"/>
    <n v="3"/>
    <n v="2"/>
    <x v="0"/>
    <n v="3"/>
    <x v="1"/>
    <n v="4601"/>
    <n v="6179"/>
    <n v="1"/>
    <s v="Y"/>
    <x v="1"/>
    <n v="16"/>
    <n v="3"/>
    <n v="2"/>
    <n v="80"/>
    <n v="0"/>
    <n v="5"/>
    <n v="3"/>
    <n v="3"/>
    <x v="8"/>
    <m/>
    <n v="2"/>
    <n v="1"/>
    <n v="0"/>
  </r>
  <r>
    <n v="52"/>
    <x v="1"/>
    <x v="0"/>
    <n v="1053"/>
    <x v="1"/>
    <n v="1"/>
    <n v="2"/>
    <x v="0"/>
    <n v="1"/>
    <n v="976"/>
    <n v="4"/>
    <x v="1"/>
    <n v="70"/>
    <n v="3"/>
    <n v="4"/>
    <x v="5"/>
    <n v="4"/>
    <x v="1"/>
    <n v="17099"/>
    <n v="13829"/>
    <n v="2"/>
    <s v="Y"/>
    <x v="1"/>
    <n v="15"/>
    <n v="3"/>
    <n v="2"/>
    <n v="80"/>
    <n v="1"/>
    <n v="26"/>
    <n v="2"/>
    <n v="2"/>
    <x v="7"/>
    <m/>
    <n v="8"/>
    <n v="7"/>
    <n v="8"/>
  </r>
  <r>
    <n v="58"/>
    <x v="0"/>
    <x v="0"/>
    <n v="289"/>
    <x v="1"/>
    <n v="2"/>
    <n v="3"/>
    <x v="4"/>
    <n v="1"/>
    <n v="977"/>
    <n v="4"/>
    <x v="1"/>
    <n v="51"/>
    <n v="3"/>
    <n v="1"/>
    <x v="1"/>
    <n v="3"/>
    <x v="0"/>
    <n v="2479"/>
    <n v="26227"/>
    <n v="4"/>
    <s v="Y"/>
    <x v="1"/>
    <n v="24"/>
    <n v="4"/>
    <n v="1"/>
    <n v="80"/>
    <n v="0"/>
    <n v="7"/>
    <n v="4"/>
    <n v="3"/>
    <x v="6"/>
    <m/>
    <n v="0"/>
    <n v="0"/>
    <n v="0"/>
  </r>
  <r>
    <n v="53"/>
    <x v="1"/>
    <x v="0"/>
    <n v="1376"/>
    <x v="0"/>
    <n v="2"/>
    <n v="2"/>
    <x v="2"/>
    <n v="1"/>
    <n v="981"/>
    <n v="3"/>
    <x v="1"/>
    <n v="45"/>
    <n v="3"/>
    <n v="4"/>
    <x v="5"/>
    <n v="3"/>
    <x v="2"/>
    <n v="14852"/>
    <n v="13938"/>
    <n v="6"/>
    <s v="Y"/>
    <x v="1"/>
    <n v="13"/>
    <n v="3"/>
    <n v="3"/>
    <n v="80"/>
    <n v="1"/>
    <n v="22"/>
    <n v="3"/>
    <n v="4"/>
    <x v="18"/>
    <m/>
    <n v="13"/>
    <n v="15"/>
    <n v="2"/>
  </r>
  <r>
    <n v="30"/>
    <x v="1"/>
    <x v="0"/>
    <n v="231"/>
    <x v="0"/>
    <n v="8"/>
    <n v="2"/>
    <x v="1"/>
    <n v="1"/>
    <n v="982"/>
    <n v="3"/>
    <x v="1"/>
    <n v="62"/>
    <n v="3"/>
    <n v="3"/>
    <x v="0"/>
    <n v="3"/>
    <x v="2"/>
    <n v="7264"/>
    <n v="9977"/>
    <n v="5"/>
    <s v="Y"/>
    <x v="1"/>
    <n v="11"/>
    <n v="3"/>
    <n v="1"/>
    <n v="80"/>
    <n v="1"/>
    <n v="10"/>
    <n v="2"/>
    <n v="4"/>
    <x v="3"/>
    <m/>
    <n v="4"/>
    <n v="7"/>
    <n v="7"/>
  </r>
  <r>
    <n v="38"/>
    <x v="1"/>
    <x v="2"/>
    <n v="152"/>
    <x v="0"/>
    <n v="10"/>
    <n v="3"/>
    <x v="4"/>
    <n v="1"/>
    <n v="983"/>
    <n v="3"/>
    <x v="0"/>
    <n v="85"/>
    <n v="3"/>
    <n v="2"/>
    <x v="0"/>
    <n v="4"/>
    <x v="0"/>
    <n v="5666"/>
    <n v="19899"/>
    <n v="1"/>
    <s v="Y"/>
    <x v="0"/>
    <n v="13"/>
    <n v="3"/>
    <n v="2"/>
    <n v="80"/>
    <n v="0"/>
    <n v="6"/>
    <n v="1"/>
    <n v="3"/>
    <x v="8"/>
    <m/>
    <n v="3"/>
    <n v="1"/>
    <n v="3"/>
  </r>
  <r>
    <n v="35"/>
    <x v="1"/>
    <x v="0"/>
    <n v="882"/>
    <x v="0"/>
    <n v="3"/>
    <n v="4"/>
    <x v="0"/>
    <n v="1"/>
    <n v="984"/>
    <n v="4"/>
    <x v="1"/>
    <n v="92"/>
    <n v="3"/>
    <n v="3"/>
    <x v="0"/>
    <n v="4"/>
    <x v="2"/>
    <n v="7823"/>
    <n v="6812"/>
    <n v="6"/>
    <s v="Y"/>
    <x v="1"/>
    <n v="13"/>
    <n v="3"/>
    <n v="2"/>
    <n v="80"/>
    <n v="1"/>
    <n v="12"/>
    <n v="2"/>
    <n v="3"/>
    <x v="1"/>
    <m/>
    <n v="9"/>
    <n v="0"/>
    <n v="8"/>
  </r>
  <r>
    <n v="39"/>
    <x v="1"/>
    <x v="0"/>
    <n v="903"/>
    <x v="0"/>
    <n v="2"/>
    <n v="5"/>
    <x v="0"/>
    <n v="1"/>
    <n v="985"/>
    <n v="1"/>
    <x v="1"/>
    <n v="41"/>
    <n v="4"/>
    <n v="3"/>
    <x v="0"/>
    <n v="3"/>
    <x v="0"/>
    <n v="7880"/>
    <n v="2560"/>
    <n v="0"/>
    <s v="Y"/>
    <x v="1"/>
    <n v="18"/>
    <n v="3"/>
    <n v="4"/>
    <n v="80"/>
    <n v="0"/>
    <n v="9"/>
    <n v="3"/>
    <n v="3"/>
    <x v="3"/>
    <m/>
    <n v="7"/>
    <n v="0"/>
    <n v="7"/>
  </r>
  <r>
    <n v="40"/>
    <x v="0"/>
    <x v="2"/>
    <n v="1479"/>
    <x v="0"/>
    <n v="24"/>
    <n v="3"/>
    <x v="0"/>
    <n v="1"/>
    <n v="986"/>
    <n v="2"/>
    <x v="0"/>
    <n v="100"/>
    <n v="4"/>
    <n v="4"/>
    <x v="0"/>
    <n v="2"/>
    <x v="0"/>
    <n v="13194"/>
    <n v="17071"/>
    <n v="4"/>
    <s v="Y"/>
    <x v="0"/>
    <n v="16"/>
    <n v="3"/>
    <n v="4"/>
    <n v="80"/>
    <n v="0"/>
    <n v="22"/>
    <n v="2"/>
    <n v="2"/>
    <x v="6"/>
    <m/>
    <n v="0"/>
    <n v="0"/>
    <n v="0"/>
  </r>
  <r>
    <n v="47"/>
    <x v="1"/>
    <x v="1"/>
    <n v="1379"/>
    <x v="1"/>
    <n v="16"/>
    <n v="4"/>
    <x v="2"/>
    <n v="1"/>
    <n v="987"/>
    <n v="3"/>
    <x v="1"/>
    <n v="64"/>
    <n v="4"/>
    <n v="2"/>
    <x v="3"/>
    <n v="3"/>
    <x v="2"/>
    <n v="5067"/>
    <n v="6759"/>
    <n v="1"/>
    <s v="Y"/>
    <x v="0"/>
    <n v="19"/>
    <n v="3"/>
    <n v="3"/>
    <n v="80"/>
    <n v="0"/>
    <n v="20"/>
    <n v="3"/>
    <n v="4"/>
    <x v="27"/>
    <m/>
    <n v="10"/>
    <n v="2"/>
    <n v="7"/>
  </r>
  <r>
    <n v="36"/>
    <x v="1"/>
    <x v="2"/>
    <n v="1229"/>
    <x v="0"/>
    <n v="8"/>
    <n v="4"/>
    <x v="4"/>
    <n v="1"/>
    <n v="990"/>
    <n v="1"/>
    <x v="1"/>
    <n v="84"/>
    <n v="3"/>
    <n v="2"/>
    <x v="0"/>
    <n v="4"/>
    <x v="2"/>
    <n v="5079"/>
    <n v="25952"/>
    <n v="4"/>
    <s v="Y"/>
    <x v="1"/>
    <n v="13"/>
    <n v="3"/>
    <n v="4"/>
    <n v="80"/>
    <n v="2"/>
    <n v="12"/>
    <n v="3"/>
    <n v="3"/>
    <x v="5"/>
    <m/>
    <n v="7"/>
    <n v="0"/>
    <n v="7"/>
  </r>
  <r>
    <n v="31"/>
    <x v="0"/>
    <x v="2"/>
    <n v="335"/>
    <x v="1"/>
    <n v="9"/>
    <n v="2"/>
    <x v="2"/>
    <n v="1"/>
    <n v="991"/>
    <n v="3"/>
    <x v="1"/>
    <n v="46"/>
    <n v="2"/>
    <n v="1"/>
    <x v="1"/>
    <n v="1"/>
    <x v="0"/>
    <n v="2321"/>
    <n v="10322"/>
    <n v="0"/>
    <s v="Y"/>
    <x v="0"/>
    <n v="22"/>
    <n v="4"/>
    <n v="1"/>
    <n v="80"/>
    <n v="0"/>
    <n v="4"/>
    <n v="0"/>
    <n v="3"/>
    <x v="11"/>
    <m/>
    <n v="2"/>
    <n v="1"/>
    <n v="2"/>
  </r>
  <r>
    <n v="33"/>
    <x v="1"/>
    <x v="2"/>
    <n v="722"/>
    <x v="0"/>
    <n v="17"/>
    <n v="3"/>
    <x v="0"/>
    <n v="1"/>
    <n v="992"/>
    <n v="4"/>
    <x v="1"/>
    <n v="38"/>
    <n v="3"/>
    <n v="4"/>
    <x v="5"/>
    <n v="3"/>
    <x v="0"/>
    <n v="17444"/>
    <n v="20489"/>
    <n v="1"/>
    <s v="Y"/>
    <x v="1"/>
    <n v="11"/>
    <n v="3"/>
    <n v="4"/>
    <n v="80"/>
    <n v="0"/>
    <n v="10"/>
    <n v="2"/>
    <n v="3"/>
    <x v="1"/>
    <m/>
    <n v="8"/>
    <n v="6"/>
    <n v="0"/>
  </r>
  <r>
    <n v="29"/>
    <x v="0"/>
    <x v="0"/>
    <n v="906"/>
    <x v="1"/>
    <n v="10"/>
    <n v="3"/>
    <x v="0"/>
    <n v="1"/>
    <n v="994"/>
    <n v="4"/>
    <x v="0"/>
    <n v="92"/>
    <n v="2"/>
    <n v="1"/>
    <x v="1"/>
    <n v="1"/>
    <x v="0"/>
    <n v="2404"/>
    <n v="11479"/>
    <n v="6"/>
    <s v="Y"/>
    <x v="0"/>
    <n v="20"/>
    <n v="4"/>
    <n v="3"/>
    <n v="80"/>
    <n v="0"/>
    <n v="3"/>
    <n v="5"/>
    <n v="3"/>
    <x v="2"/>
    <m/>
    <n v="0"/>
    <n v="0"/>
    <n v="0"/>
  </r>
  <r>
    <n v="33"/>
    <x v="1"/>
    <x v="0"/>
    <n v="461"/>
    <x v="1"/>
    <n v="13"/>
    <n v="1"/>
    <x v="0"/>
    <n v="1"/>
    <n v="995"/>
    <n v="2"/>
    <x v="0"/>
    <n v="53"/>
    <n v="3"/>
    <n v="1"/>
    <x v="1"/>
    <n v="4"/>
    <x v="0"/>
    <n v="3452"/>
    <n v="17241"/>
    <n v="3"/>
    <s v="Y"/>
    <x v="1"/>
    <n v="18"/>
    <n v="3"/>
    <n v="1"/>
    <n v="80"/>
    <n v="0"/>
    <n v="5"/>
    <n v="4"/>
    <n v="3"/>
    <x v="11"/>
    <m/>
    <n v="2"/>
    <n v="0"/>
    <n v="2"/>
  </r>
  <r>
    <n v="45"/>
    <x v="1"/>
    <x v="0"/>
    <n v="974"/>
    <x v="1"/>
    <n v="1"/>
    <n v="4"/>
    <x v="2"/>
    <n v="1"/>
    <n v="996"/>
    <n v="4"/>
    <x v="0"/>
    <n v="91"/>
    <n v="3"/>
    <n v="1"/>
    <x v="2"/>
    <n v="4"/>
    <x v="2"/>
    <n v="2270"/>
    <n v="11005"/>
    <n v="3"/>
    <s v="Y"/>
    <x v="1"/>
    <n v="14"/>
    <n v="3"/>
    <n v="4"/>
    <n v="80"/>
    <n v="2"/>
    <n v="8"/>
    <n v="2"/>
    <n v="3"/>
    <x v="8"/>
    <m/>
    <n v="3"/>
    <n v="0"/>
    <n v="2"/>
  </r>
  <r>
    <n v="50"/>
    <x v="1"/>
    <x v="0"/>
    <n v="1126"/>
    <x v="1"/>
    <n v="1"/>
    <n v="2"/>
    <x v="2"/>
    <n v="1"/>
    <n v="997"/>
    <n v="4"/>
    <x v="1"/>
    <n v="66"/>
    <n v="3"/>
    <n v="4"/>
    <x v="7"/>
    <n v="4"/>
    <x v="2"/>
    <n v="17399"/>
    <n v="6615"/>
    <n v="9"/>
    <s v="Y"/>
    <x v="1"/>
    <n v="22"/>
    <n v="4"/>
    <n v="3"/>
    <n v="80"/>
    <n v="1"/>
    <n v="32"/>
    <n v="1"/>
    <n v="2"/>
    <x v="8"/>
    <m/>
    <n v="4"/>
    <n v="1"/>
    <n v="3"/>
  </r>
  <r>
    <n v="33"/>
    <x v="1"/>
    <x v="1"/>
    <n v="827"/>
    <x v="1"/>
    <n v="1"/>
    <n v="4"/>
    <x v="1"/>
    <n v="1"/>
    <n v="998"/>
    <n v="3"/>
    <x v="0"/>
    <n v="84"/>
    <n v="4"/>
    <n v="2"/>
    <x v="4"/>
    <n v="2"/>
    <x v="1"/>
    <n v="5488"/>
    <n v="20161"/>
    <n v="1"/>
    <s v="Y"/>
    <x v="0"/>
    <n v="13"/>
    <n v="3"/>
    <n v="1"/>
    <n v="80"/>
    <n v="1"/>
    <n v="6"/>
    <n v="2"/>
    <n v="3"/>
    <x v="0"/>
    <m/>
    <n v="5"/>
    <n v="1"/>
    <n v="2"/>
  </r>
  <r>
    <n v="41"/>
    <x v="1"/>
    <x v="1"/>
    <n v="840"/>
    <x v="1"/>
    <n v="9"/>
    <n v="3"/>
    <x v="2"/>
    <n v="1"/>
    <n v="999"/>
    <n v="1"/>
    <x v="1"/>
    <n v="64"/>
    <n v="3"/>
    <n v="5"/>
    <x v="7"/>
    <n v="3"/>
    <x v="2"/>
    <n v="19419"/>
    <n v="3735"/>
    <n v="2"/>
    <s v="Y"/>
    <x v="1"/>
    <n v="17"/>
    <n v="3"/>
    <n v="2"/>
    <n v="80"/>
    <n v="1"/>
    <n v="21"/>
    <n v="2"/>
    <n v="4"/>
    <x v="29"/>
    <m/>
    <n v="16"/>
    <n v="0"/>
    <n v="11"/>
  </r>
  <r>
    <n v="27"/>
    <x v="1"/>
    <x v="0"/>
    <n v="1134"/>
    <x v="1"/>
    <n v="16"/>
    <n v="4"/>
    <x v="4"/>
    <n v="1"/>
    <n v="1001"/>
    <n v="3"/>
    <x v="0"/>
    <n v="37"/>
    <n v="3"/>
    <n v="1"/>
    <x v="2"/>
    <n v="2"/>
    <x v="1"/>
    <n v="2811"/>
    <n v="12086"/>
    <n v="9"/>
    <s v="Y"/>
    <x v="1"/>
    <n v="14"/>
    <n v="3"/>
    <n v="2"/>
    <n v="80"/>
    <n v="1"/>
    <n v="4"/>
    <n v="2"/>
    <n v="3"/>
    <x v="4"/>
    <m/>
    <n v="2"/>
    <n v="2"/>
    <n v="2"/>
  </r>
  <r>
    <n v="45"/>
    <x v="1"/>
    <x v="2"/>
    <n v="248"/>
    <x v="1"/>
    <n v="23"/>
    <n v="2"/>
    <x v="0"/>
    <n v="1"/>
    <n v="1002"/>
    <n v="4"/>
    <x v="1"/>
    <n v="42"/>
    <n v="3"/>
    <n v="2"/>
    <x v="2"/>
    <n v="1"/>
    <x v="1"/>
    <n v="3633"/>
    <n v="14039"/>
    <n v="1"/>
    <s v="Y"/>
    <x v="0"/>
    <n v="15"/>
    <n v="3"/>
    <n v="3"/>
    <n v="80"/>
    <n v="1"/>
    <n v="9"/>
    <n v="2"/>
    <n v="3"/>
    <x v="7"/>
    <m/>
    <n v="8"/>
    <n v="0"/>
    <n v="8"/>
  </r>
  <r>
    <n v="47"/>
    <x v="1"/>
    <x v="0"/>
    <n v="955"/>
    <x v="0"/>
    <n v="4"/>
    <n v="2"/>
    <x v="0"/>
    <n v="1"/>
    <n v="1003"/>
    <n v="4"/>
    <x v="0"/>
    <n v="83"/>
    <n v="3"/>
    <n v="2"/>
    <x v="0"/>
    <n v="4"/>
    <x v="0"/>
    <n v="4163"/>
    <n v="8571"/>
    <n v="1"/>
    <s v="Y"/>
    <x v="0"/>
    <n v="17"/>
    <n v="3"/>
    <n v="3"/>
    <n v="80"/>
    <n v="0"/>
    <n v="9"/>
    <n v="0"/>
    <n v="3"/>
    <x v="7"/>
    <m/>
    <n v="0"/>
    <n v="0"/>
    <n v="7"/>
  </r>
  <r>
    <n v="30"/>
    <x v="0"/>
    <x v="0"/>
    <n v="138"/>
    <x v="1"/>
    <n v="22"/>
    <n v="3"/>
    <x v="0"/>
    <n v="1"/>
    <n v="1004"/>
    <n v="1"/>
    <x v="0"/>
    <n v="48"/>
    <n v="3"/>
    <n v="1"/>
    <x v="1"/>
    <n v="3"/>
    <x v="1"/>
    <n v="2132"/>
    <n v="11539"/>
    <n v="4"/>
    <s v="Y"/>
    <x v="0"/>
    <n v="11"/>
    <n v="3"/>
    <n v="2"/>
    <n v="80"/>
    <n v="0"/>
    <n v="7"/>
    <n v="2"/>
    <n v="3"/>
    <x v="8"/>
    <m/>
    <n v="2"/>
    <n v="0"/>
    <n v="1"/>
  </r>
  <r>
    <n v="50"/>
    <x v="1"/>
    <x v="0"/>
    <n v="939"/>
    <x v="1"/>
    <n v="24"/>
    <n v="3"/>
    <x v="0"/>
    <n v="1"/>
    <n v="1005"/>
    <n v="4"/>
    <x v="1"/>
    <n v="95"/>
    <n v="3"/>
    <n v="4"/>
    <x v="3"/>
    <n v="3"/>
    <x v="1"/>
    <n v="13973"/>
    <n v="4161"/>
    <n v="3"/>
    <s v="Y"/>
    <x v="0"/>
    <n v="18"/>
    <n v="3"/>
    <n v="4"/>
    <n v="80"/>
    <n v="1"/>
    <n v="22"/>
    <n v="2"/>
    <n v="3"/>
    <x v="12"/>
    <m/>
    <n v="11"/>
    <n v="1"/>
    <n v="5"/>
  </r>
  <r>
    <n v="38"/>
    <x v="1"/>
    <x v="1"/>
    <n v="1391"/>
    <x v="1"/>
    <n v="10"/>
    <n v="1"/>
    <x v="2"/>
    <n v="1"/>
    <n v="1006"/>
    <n v="3"/>
    <x v="1"/>
    <n v="66"/>
    <n v="3"/>
    <n v="1"/>
    <x v="1"/>
    <n v="3"/>
    <x v="1"/>
    <n v="2684"/>
    <n v="12127"/>
    <n v="0"/>
    <s v="Y"/>
    <x v="1"/>
    <n v="17"/>
    <n v="3"/>
    <n v="2"/>
    <n v="80"/>
    <n v="1"/>
    <n v="3"/>
    <n v="0"/>
    <n v="2"/>
    <x v="4"/>
    <m/>
    <n v="1"/>
    <n v="0"/>
    <n v="2"/>
  </r>
  <r>
    <n v="46"/>
    <x v="1"/>
    <x v="0"/>
    <n v="566"/>
    <x v="1"/>
    <n v="7"/>
    <n v="2"/>
    <x v="2"/>
    <n v="1"/>
    <n v="1007"/>
    <n v="4"/>
    <x v="1"/>
    <n v="75"/>
    <n v="3"/>
    <n v="3"/>
    <x v="3"/>
    <n v="3"/>
    <x v="2"/>
    <n v="10845"/>
    <n v="24208"/>
    <n v="6"/>
    <s v="Y"/>
    <x v="1"/>
    <n v="13"/>
    <n v="3"/>
    <n v="2"/>
    <n v="80"/>
    <n v="1"/>
    <n v="13"/>
    <n v="3"/>
    <n v="3"/>
    <x v="3"/>
    <m/>
    <n v="7"/>
    <n v="0"/>
    <n v="7"/>
  </r>
  <r>
    <n v="24"/>
    <x v="1"/>
    <x v="0"/>
    <n v="1206"/>
    <x v="1"/>
    <n v="17"/>
    <n v="1"/>
    <x v="2"/>
    <n v="1"/>
    <n v="1009"/>
    <n v="4"/>
    <x v="0"/>
    <n v="41"/>
    <n v="2"/>
    <n v="2"/>
    <x v="3"/>
    <n v="3"/>
    <x v="2"/>
    <n v="4377"/>
    <n v="24117"/>
    <n v="1"/>
    <s v="Y"/>
    <x v="1"/>
    <n v="15"/>
    <n v="3"/>
    <n v="2"/>
    <n v="80"/>
    <n v="2"/>
    <n v="5"/>
    <n v="6"/>
    <n v="3"/>
    <x v="9"/>
    <m/>
    <n v="2"/>
    <n v="3"/>
    <n v="2"/>
  </r>
  <r>
    <n v="35"/>
    <x v="0"/>
    <x v="0"/>
    <n v="622"/>
    <x v="1"/>
    <n v="14"/>
    <n v="4"/>
    <x v="1"/>
    <n v="1"/>
    <n v="1010"/>
    <n v="3"/>
    <x v="1"/>
    <n v="39"/>
    <n v="2"/>
    <n v="1"/>
    <x v="2"/>
    <n v="2"/>
    <x v="2"/>
    <n v="3743"/>
    <n v="10074"/>
    <n v="1"/>
    <s v="Y"/>
    <x v="0"/>
    <n v="24"/>
    <n v="4"/>
    <n v="4"/>
    <n v="80"/>
    <n v="1"/>
    <n v="5"/>
    <n v="2"/>
    <n v="1"/>
    <x v="9"/>
    <m/>
    <n v="2"/>
    <n v="0"/>
    <n v="2"/>
  </r>
  <r>
    <n v="31"/>
    <x v="1"/>
    <x v="1"/>
    <n v="853"/>
    <x v="1"/>
    <n v="1"/>
    <n v="1"/>
    <x v="0"/>
    <n v="1"/>
    <n v="1011"/>
    <n v="3"/>
    <x v="0"/>
    <n v="96"/>
    <n v="3"/>
    <n v="2"/>
    <x v="3"/>
    <n v="1"/>
    <x v="1"/>
    <n v="4148"/>
    <n v="11275"/>
    <n v="1"/>
    <s v="Y"/>
    <x v="1"/>
    <n v="12"/>
    <n v="3"/>
    <n v="3"/>
    <n v="80"/>
    <n v="1"/>
    <n v="4"/>
    <n v="1"/>
    <n v="3"/>
    <x v="9"/>
    <m/>
    <n v="3"/>
    <n v="0"/>
    <n v="3"/>
  </r>
  <r>
    <n v="18"/>
    <x v="1"/>
    <x v="2"/>
    <n v="287"/>
    <x v="1"/>
    <n v="5"/>
    <n v="2"/>
    <x v="0"/>
    <n v="1"/>
    <n v="1012"/>
    <n v="2"/>
    <x v="1"/>
    <n v="73"/>
    <n v="3"/>
    <n v="1"/>
    <x v="1"/>
    <n v="4"/>
    <x v="0"/>
    <n v="1051"/>
    <n v="13493"/>
    <n v="1"/>
    <s v="Y"/>
    <x v="1"/>
    <n v="15"/>
    <n v="3"/>
    <n v="4"/>
    <n v="80"/>
    <n v="0"/>
    <n v="0"/>
    <n v="2"/>
    <n v="3"/>
    <x v="2"/>
    <m/>
    <n v="0"/>
    <n v="0"/>
    <n v="0"/>
  </r>
  <r>
    <n v="54"/>
    <x v="1"/>
    <x v="0"/>
    <n v="1441"/>
    <x v="1"/>
    <n v="17"/>
    <n v="3"/>
    <x v="4"/>
    <n v="1"/>
    <n v="1013"/>
    <n v="3"/>
    <x v="0"/>
    <n v="56"/>
    <n v="3"/>
    <n v="3"/>
    <x v="3"/>
    <n v="3"/>
    <x v="1"/>
    <n v="10739"/>
    <n v="13943"/>
    <n v="8"/>
    <s v="Y"/>
    <x v="1"/>
    <n v="11"/>
    <n v="3"/>
    <n v="3"/>
    <n v="80"/>
    <n v="1"/>
    <n v="22"/>
    <n v="2"/>
    <n v="3"/>
    <x v="1"/>
    <m/>
    <n v="7"/>
    <n v="0"/>
    <n v="8"/>
  </r>
  <r>
    <n v="35"/>
    <x v="1"/>
    <x v="0"/>
    <n v="583"/>
    <x v="1"/>
    <n v="25"/>
    <n v="4"/>
    <x v="2"/>
    <n v="1"/>
    <n v="1014"/>
    <n v="3"/>
    <x v="0"/>
    <n v="57"/>
    <n v="3"/>
    <n v="3"/>
    <x v="4"/>
    <n v="3"/>
    <x v="2"/>
    <n v="10388"/>
    <n v="6975"/>
    <n v="1"/>
    <s v="Y"/>
    <x v="0"/>
    <n v="11"/>
    <n v="3"/>
    <n v="3"/>
    <n v="80"/>
    <n v="1"/>
    <n v="16"/>
    <n v="3"/>
    <n v="2"/>
    <x v="22"/>
    <m/>
    <n v="10"/>
    <n v="10"/>
    <n v="1"/>
  </r>
  <r>
    <n v="30"/>
    <x v="1"/>
    <x v="0"/>
    <n v="153"/>
    <x v="1"/>
    <n v="8"/>
    <n v="2"/>
    <x v="0"/>
    <n v="1"/>
    <n v="1015"/>
    <n v="2"/>
    <x v="0"/>
    <n v="73"/>
    <n v="4"/>
    <n v="3"/>
    <x v="7"/>
    <n v="1"/>
    <x v="1"/>
    <n v="11416"/>
    <n v="17802"/>
    <n v="0"/>
    <s v="Y"/>
    <x v="0"/>
    <n v="12"/>
    <n v="3"/>
    <n v="3"/>
    <n v="80"/>
    <n v="3"/>
    <n v="9"/>
    <n v="4"/>
    <n v="2"/>
    <x v="3"/>
    <m/>
    <n v="7"/>
    <n v="1"/>
    <n v="7"/>
  </r>
  <r>
    <n v="20"/>
    <x v="0"/>
    <x v="0"/>
    <n v="1097"/>
    <x v="1"/>
    <n v="11"/>
    <n v="3"/>
    <x v="2"/>
    <n v="1"/>
    <n v="1016"/>
    <n v="4"/>
    <x v="0"/>
    <n v="98"/>
    <n v="2"/>
    <n v="1"/>
    <x v="1"/>
    <n v="1"/>
    <x v="0"/>
    <n v="2600"/>
    <n v="18275"/>
    <n v="1"/>
    <s v="Y"/>
    <x v="0"/>
    <n v="15"/>
    <n v="3"/>
    <n v="1"/>
    <n v="80"/>
    <n v="0"/>
    <n v="1"/>
    <n v="2"/>
    <n v="3"/>
    <x v="6"/>
    <m/>
    <n v="0"/>
    <n v="0"/>
    <n v="0"/>
  </r>
  <r>
    <n v="30"/>
    <x v="0"/>
    <x v="1"/>
    <n v="109"/>
    <x v="1"/>
    <n v="5"/>
    <n v="3"/>
    <x v="2"/>
    <n v="1"/>
    <n v="1017"/>
    <n v="2"/>
    <x v="0"/>
    <n v="60"/>
    <n v="3"/>
    <n v="1"/>
    <x v="2"/>
    <n v="2"/>
    <x v="0"/>
    <n v="2422"/>
    <n v="25725"/>
    <n v="0"/>
    <s v="Y"/>
    <x v="1"/>
    <n v="17"/>
    <n v="3"/>
    <n v="1"/>
    <n v="80"/>
    <n v="0"/>
    <n v="4"/>
    <n v="3"/>
    <n v="3"/>
    <x v="11"/>
    <m/>
    <n v="2"/>
    <n v="1"/>
    <n v="2"/>
  </r>
  <r>
    <n v="26"/>
    <x v="1"/>
    <x v="0"/>
    <n v="1066"/>
    <x v="1"/>
    <n v="2"/>
    <n v="2"/>
    <x v="2"/>
    <n v="1"/>
    <n v="1018"/>
    <n v="4"/>
    <x v="1"/>
    <n v="32"/>
    <n v="4"/>
    <n v="2"/>
    <x v="3"/>
    <n v="4"/>
    <x v="1"/>
    <n v="5472"/>
    <n v="3334"/>
    <n v="1"/>
    <s v="Y"/>
    <x v="1"/>
    <n v="12"/>
    <n v="3"/>
    <n v="2"/>
    <n v="80"/>
    <n v="0"/>
    <n v="8"/>
    <n v="2"/>
    <n v="3"/>
    <x v="3"/>
    <m/>
    <n v="7"/>
    <n v="1"/>
    <n v="3"/>
  </r>
  <r>
    <n v="22"/>
    <x v="1"/>
    <x v="0"/>
    <n v="217"/>
    <x v="1"/>
    <n v="8"/>
    <n v="1"/>
    <x v="0"/>
    <n v="1"/>
    <n v="1019"/>
    <n v="2"/>
    <x v="1"/>
    <n v="94"/>
    <n v="1"/>
    <n v="1"/>
    <x v="2"/>
    <n v="1"/>
    <x v="1"/>
    <n v="2451"/>
    <n v="6881"/>
    <n v="1"/>
    <s v="Y"/>
    <x v="1"/>
    <n v="15"/>
    <n v="3"/>
    <n v="1"/>
    <n v="80"/>
    <n v="1"/>
    <n v="4"/>
    <n v="3"/>
    <n v="2"/>
    <x v="9"/>
    <m/>
    <n v="3"/>
    <n v="1"/>
    <n v="1"/>
  </r>
  <r>
    <n v="48"/>
    <x v="1"/>
    <x v="0"/>
    <n v="277"/>
    <x v="1"/>
    <n v="6"/>
    <n v="3"/>
    <x v="0"/>
    <n v="1"/>
    <n v="1022"/>
    <n v="1"/>
    <x v="1"/>
    <n v="97"/>
    <n v="2"/>
    <n v="2"/>
    <x v="4"/>
    <n v="3"/>
    <x v="0"/>
    <n v="4240"/>
    <n v="13119"/>
    <n v="2"/>
    <s v="Y"/>
    <x v="1"/>
    <n v="13"/>
    <n v="3"/>
    <n v="4"/>
    <n v="80"/>
    <n v="0"/>
    <n v="19"/>
    <n v="0"/>
    <n v="3"/>
    <x v="4"/>
    <m/>
    <n v="2"/>
    <n v="2"/>
    <n v="2"/>
  </r>
  <r>
    <n v="48"/>
    <x v="1"/>
    <x v="0"/>
    <n v="1355"/>
    <x v="1"/>
    <n v="4"/>
    <n v="4"/>
    <x v="0"/>
    <n v="1"/>
    <n v="1024"/>
    <n v="3"/>
    <x v="1"/>
    <n v="78"/>
    <n v="2"/>
    <n v="3"/>
    <x v="4"/>
    <n v="3"/>
    <x v="0"/>
    <n v="10999"/>
    <n v="22245"/>
    <n v="7"/>
    <s v="Y"/>
    <x v="1"/>
    <n v="14"/>
    <n v="3"/>
    <n v="2"/>
    <n v="80"/>
    <n v="0"/>
    <n v="27"/>
    <n v="3"/>
    <n v="3"/>
    <x v="15"/>
    <m/>
    <n v="11"/>
    <n v="4"/>
    <n v="8"/>
  </r>
  <r>
    <n v="41"/>
    <x v="1"/>
    <x v="0"/>
    <n v="549"/>
    <x v="1"/>
    <n v="7"/>
    <n v="2"/>
    <x v="2"/>
    <n v="1"/>
    <n v="1025"/>
    <n v="4"/>
    <x v="0"/>
    <n v="42"/>
    <n v="3"/>
    <n v="2"/>
    <x v="3"/>
    <n v="3"/>
    <x v="0"/>
    <n v="5003"/>
    <n v="23371"/>
    <n v="6"/>
    <s v="Y"/>
    <x v="1"/>
    <n v="14"/>
    <n v="3"/>
    <n v="2"/>
    <n v="80"/>
    <n v="0"/>
    <n v="8"/>
    <n v="6"/>
    <n v="3"/>
    <x v="4"/>
    <m/>
    <n v="2"/>
    <n v="2"/>
    <n v="1"/>
  </r>
  <r>
    <n v="39"/>
    <x v="1"/>
    <x v="0"/>
    <n v="466"/>
    <x v="1"/>
    <n v="1"/>
    <n v="1"/>
    <x v="0"/>
    <n v="1"/>
    <n v="1026"/>
    <n v="4"/>
    <x v="0"/>
    <n v="65"/>
    <n v="2"/>
    <n v="4"/>
    <x v="3"/>
    <n v="4"/>
    <x v="1"/>
    <n v="12742"/>
    <n v="7060"/>
    <n v="1"/>
    <s v="Y"/>
    <x v="1"/>
    <n v="16"/>
    <n v="3"/>
    <n v="3"/>
    <n v="80"/>
    <n v="1"/>
    <n v="21"/>
    <n v="3"/>
    <n v="3"/>
    <x v="17"/>
    <m/>
    <n v="6"/>
    <n v="11"/>
    <n v="8"/>
  </r>
  <r>
    <n v="27"/>
    <x v="1"/>
    <x v="0"/>
    <n v="1055"/>
    <x v="1"/>
    <n v="2"/>
    <n v="4"/>
    <x v="0"/>
    <n v="1"/>
    <n v="1027"/>
    <n v="1"/>
    <x v="0"/>
    <n v="47"/>
    <n v="3"/>
    <n v="2"/>
    <x v="3"/>
    <n v="4"/>
    <x v="1"/>
    <n v="4227"/>
    <n v="4658"/>
    <n v="0"/>
    <s v="Y"/>
    <x v="1"/>
    <n v="18"/>
    <n v="3"/>
    <n v="2"/>
    <n v="80"/>
    <n v="1"/>
    <n v="4"/>
    <n v="2"/>
    <n v="3"/>
    <x v="11"/>
    <m/>
    <n v="2"/>
    <n v="2"/>
    <n v="2"/>
  </r>
  <r>
    <n v="35"/>
    <x v="1"/>
    <x v="0"/>
    <n v="802"/>
    <x v="1"/>
    <n v="10"/>
    <n v="3"/>
    <x v="1"/>
    <n v="1"/>
    <n v="1028"/>
    <n v="2"/>
    <x v="1"/>
    <n v="45"/>
    <n v="3"/>
    <n v="1"/>
    <x v="2"/>
    <n v="4"/>
    <x v="2"/>
    <n v="3917"/>
    <n v="9541"/>
    <n v="1"/>
    <s v="Y"/>
    <x v="1"/>
    <n v="20"/>
    <n v="4"/>
    <n v="1"/>
    <n v="80"/>
    <n v="1"/>
    <n v="3"/>
    <n v="4"/>
    <n v="2"/>
    <x v="11"/>
    <m/>
    <n v="2"/>
    <n v="1"/>
    <n v="2"/>
  </r>
  <r>
    <n v="42"/>
    <x v="1"/>
    <x v="0"/>
    <n v="265"/>
    <x v="0"/>
    <n v="5"/>
    <n v="2"/>
    <x v="3"/>
    <n v="1"/>
    <n v="1029"/>
    <n v="4"/>
    <x v="1"/>
    <n v="90"/>
    <n v="3"/>
    <n v="5"/>
    <x v="5"/>
    <n v="3"/>
    <x v="1"/>
    <n v="18303"/>
    <n v="7770"/>
    <n v="6"/>
    <s v="Y"/>
    <x v="1"/>
    <n v="13"/>
    <n v="3"/>
    <n v="2"/>
    <n v="80"/>
    <n v="0"/>
    <n v="21"/>
    <n v="3"/>
    <n v="4"/>
    <x v="6"/>
    <m/>
    <n v="0"/>
    <n v="0"/>
    <n v="0"/>
  </r>
  <r>
    <n v="50"/>
    <x v="1"/>
    <x v="0"/>
    <n v="804"/>
    <x v="1"/>
    <n v="9"/>
    <n v="3"/>
    <x v="0"/>
    <n v="1"/>
    <n v="1030"/>
    <n v="1"/>
    <x v="1"/>
    <n v="64"/>
    <n v="3"/>
    <n v="1"/>
    <x v="2"/>
    <n v="4"/>
    <x v="1"/>
    <n v="2380"/>
    <n v="20165"/>
    <n v="4"/>
    <s v="Y"/>
    <x v="1"/>
    <n v="18"/>
    <n v="3"/>
    <n v="2"/>
    <n v="80"/>
    <n v="0"/>
    <n v="8"/>
    <n v="5"/>
    <n v="3"/>
    <x v="6"/>
    <m/>
    <n v="0"/>
    <n v="0"/>
    <n v="0"/>
  </r>
  <r>
    <n v="59"/>
    <x v="1"/>
    <x v="0"/>
    <n v="715"/>
    <x v="1"/>
    <n v="2"/>
    <n v="3"/>
    <x v="0"/>
    <n v="1"/>
    <n v="1032"/>
    <n v="3"/>
    <x v="0"/>
    <n v="69"/>
    <n v="2"/>
    <n v="4"/>
    <x v="3"/>
    <n v="4"/>
    <x v="0"/>
    <n v="13726"/>
    <n v="21829"/>
    <n v="3"/>
    <s v="Y"/>
    <x v="0"/>
    <n v="13"/>
    <n v="3"/>
    <n v="1"/>
    <n v="80"/>
    <n v="0"/>
    <n v="30"/>
    <n v="4"/>
    <n v="3"/>
    <x v="8"/>
    <m/>
    <n v="3"/>
    <n v="4"/>
    <n v="3"/>
  </r>
  <r>
    <n v="37"/>
    <x v="0"/>
    <x v="0"/>
    <n v="1141"/>
    <x v="1"/>
    <n v="11"/>
    <n v="2"/>
    <x v="2"/>
    <n v="1"/>
    <n v="1033"/>
    <n v="1"/>
    <x v="0"/>
    <n v="61"/>
    <n v="1"/>
    <n v="2"/>
    <x v="4"/>
    <n v="2"/>
    <x v="1"/>
    <n v="4777"/>
    <n v="14382"/>
    <n v="5"/>
    <s v="Y"/>
    <x v="1"/>
    <n v="15"/>
    <n v="3"/>
    <n v="1"/>
    <n v="80"/>
    <n v="0"/>
    <n v="15"/>
    <n v="2"/>
    <n v="1"/>
    <x v="6"/>
    <m/>
    <n v="0"/>
    <n v="0"/>
    <n v="0"/>
  </r>
  <r>
    <n v="55"/>
    <x v="1"/>
    <x v="1"/>
    <n v="135"/>
    <x v="1"/>
    <n v="18"/>
    <n v="4"/>
    <x v="2"/>
    <n v="1"/>
    <n v="1034"/>
    <n v="3"/>
    <x v="1"/>
    <n v="62"/>
    <n v="3"/>
    <n v="2"/>
    <x v="4"/>
    <n v="2"/>
    <x v="1"/>
    <n v="6385"/>
    <n v="12992"/>
    <n v="3"/>
    <s v="Y"/>
    <x v="0"/>
    <n v="14"/>
    <n v="3"/>
    <n v="4"/>
    <n v="80"/>
    <n v="2"/>
    <n v="17"/>
    <n v="3"/>
    <n v="3"/>
    <x v="3"/>
    <m/>
    <n v="7"/>
    <n v="6"/>
    <n v="7"/>
  </r>
  <r>
    <n v="41"/>
    <x v="1"/>
    <x v="2"/>
    <n v="247"/>
    <x v="1"/>
    <n v="7"/>
    <n v="1"/>
    <x v="0"/>
    <n v="1"/>
    <n v="1035"/>
    <n v="2"/>
    <x v="0"/>
    <n v="55"/>
    <n v="1"/>
    <n v="5"/>
    <x v="7"/>
    <n v="3"/>
    <x v="2"/>
    <n v="19973"/>
    <n v="20284"/>
    <n v="1"/>
    <s v="Y"/>
    <x v="1"/>
    <n v="22"/>
    <n v="4"/>
    <n v="2"/>
    <n v="80"/>
    <n v="2"/>
    <n v="21"/>
    <n v="3"/>
    <n v="3"/>
    <x v="17"/>
    <m/>
    <n v="16"/>
    <n v="5"/>
    <n v="10"/>
  </r>
  <r>
    <n v="38"/>
    <x v="1"/>
    <x v="0"/>
    <n v="1035"/>
    <x v="0"/>
    <n v="3"/>
    <n v="4"/>
    <x v="0"/>
    <n v="1"/>
    <n v="1036"/>
    <n v="2"/>
    <x v="1"/>
    <n v="42"/>
    <n v="3"/>
    <n v="2"/>
    <x v="0"/>
    <n v="4"/>
    <x v="0"/>
    <n v="6861"/>
    <n v="4981"/>
    <n v="8"/>
    <s v="Y"/>
    <x v="0"/>
    <n v="12"/>
    <n v="3"/>
    <n v="3"/>
    <n v="80"/>
    <n v="0"/>
    <n v="19"/>
    <n v="1"/>
    <n v="3"/>
    <x v="6"/>
    <m/>
    <n v="0"/>
    <n v="0"/>
    <n v="0"/>
  </r>
  <r>
    <n v="26"/>
    <x v="0"/>
    <x v="2"/>
    <n v="265"/>
    <x v="0"/>
    <n v="29"/>
    <n v="2"/>
    <x v="2"/>
    <n v="1"/>
    <n v="1037"/>
    <n v="2"/>
    <x v="1"/>
    <n v="79"/>
    <n v="1"/>
    <n v="2"/>
    <x v="0"/>
    <n v="1"/>
    <x v="0"/>
    <n v="4969"/>
    <n v="21813"/>
    <n v="8"/>
    <s v="Y"/>
    <x v="1"/>
    <n v="18"/>
    <n v="3"/>
    <n v="4"/>
    <n v="80"/>
    <n v="0"/>
    <n v="7"/>
    <n v="6"/>
    <n v="3"/>
    <x v="4"/>
    <m/>
    <n v="2"/>
    <n v="2"/>
    <n v="2"/>
  </r>
  <r>
    <n v="52"/>
    <x v="0"/>
    <x v="0"/>
    <n v="266"/>
    <x v="0"/>
    <n v="2"/>
    <n v="1"/>
    <x v="3"/>
    <n v="1"/>
    <n v="1038"/>
    <n v="1"/>
    <x v="0"/>
    <n v="57"/>
    <n v="1"/>
    <n v="5"/>
    <x v="5"/>
    <n v="4"/>
    <x v="1"/>
    <n v="19845"/>
    <n v="25846"/>
    <n v="1"/>
    <s v="Y"/>
    <x v="1"/>
    <n v="15"/>
    <n v="3"/>
    <n v="4"/>
    <n v="80"/>
    <n v="1"/>
    <n v="33"/>
    <n v="3"/>
    <n v="3"/>
    <x v="32"/>
    <m/>
    <n v="14"/>
    <n v="6"/>
    <n v="9"/>
  </r>
  <r>
    <n v="44"/>
    <x v="1"/>
    <x v="0"/>
    <n v="1448"/>
    <x v="0"/>
    <n v="28"/>
    <n v="3"/>
    <x v="2"/>
    <n v="1"/>
    <n v="1039"/>
    <n v="4"/>
    <x v="0"/>
    <n v="53"/>
    <n v="4"/>
    <n v="4"/>
    <x v="0"/>
    <n v="4"/>
    <x v="1"/>
    <n v="13320"/>
    <n v="11737"/>
    <n v="3"/>
    <s v="Y"/>
    <x v="0"/>
    <n v="18"/>
    <n v="3"/>
    <n v="3"/>
    <n v="80"/>
    <n v="1"/>
    <n v="23"/>
    <n v="2"/>
    <n v="3"/>
    <x v="12"/>
    <m/>
    <n v="11"/>
    <n v="11"/>
    <n v="11"/>
  </r>
  <r>
    <n v="50"/>
    <x v="1"/>
    <x v="2"/>
    <n v="145"/>
    <x v="0"/>
    <n v="1"/>
    <n v="3"/>
    <x v="0"/>
    <n v="1"/>
    <n v="1040"/>
    <n v="4"/>
    <x v="0"/>
    <n v="95"/>
    <n v="3"/>
    <n v="2"/>
    <x v="0"/>
    <n v="3"/>
    <x v="1"/>
    <n v="6347"/>
    <n v="24920"/>
    <n v="0"/>
    <s v="Y"/>
    <x v="1"/>
    <n v="12"/>
    <n v="3"/>
    <n v="1"/>
    <n v="80"/>
    <n v="1"/>
    <n v="19"/>
    <n v="3"/>
    <n v="3"/>
    <x v="29"/>
    <m/>
    <n v="7"/>
    <n v="0"/>
    <n v="13"/>
  </r>
  <r>
    <n v="36"/>
    <x v="0"/>
    <x v="0"/>
    <n v="885"/>
    <x v="1"/>
    <n v="16"/>
    <n v="4"/>
    <x v="0"/>
    <n v="1"/>
    <n v="1042"/>
    <n v="3"/>
    <x v="0"/>
    <n v="43"/>
    <n v="4"/>
    <n v="1"/>
    <x v="2"/>
    <n v="1"/>
    <x v="0"/>
    <n v="2743"/>
    <n v="8269"/>
    <n v="1"/>
    <s v="Y"/>
    <x v="1"/>
    <n v="16"/>
    <n v="3"/>
    <n v="3"/>
    <n v="80"/>
    <n v="0"/>
    <n v="18"/>
    <n v="1"/>
    <n v="3"/>
    <x v="18"/>
    <m/>
    <n v="13"/>
    <n v="15"/>
    <n v="14"/>
  </r>
  <r>
    <n v="39"/>
    <x v="1"/>
    <x v="1"/>
    <n v="945"/>
    <x v="1"/>
    <n v="22"/>
    <n v="3"/>
    <x v="2"/>
    <n v="1"/>
    <n v="1043"/>
    <n v="4"/>
    <x v="0"/>
    <n v="82"/>
    <n v="3"/>
    <n v="3"/>
    <x v="3"/>
    <n v="1"/>
    <x v="0"/>
    <n v="10880"/>
    <n v="5083"/>
    <n v="1"/>
    <s v="Y"/>
    <x v="0"/>
    <n v="13"/>
    <n v="3"/>
    <n v="3"/>
    <n v="80"/>
    <n v="0"/>
    <n v="21"/>
    <n v="2"/>
    <n v="3"/>
    <x v="17"/>
    <m/>
    <n v="6"/>
    <n v="2"/>
    <n v="8"/>
  </r>
  <r>
    <n v="33"/>
    <x v="1"/>
    <x v="2"/>
    <n v="1038"/>
    <x v="0"/>
    <n v="8"/>
    <n v="1"/>
    <x v="0"/>
    <n v="1"/>
    <n v="1044"/>
    <n v="2"/>
    <x v="0"/>
    <n v="88"/>
    <n v="2"/>
    <n v="1"/>
    <x v="6"/>
    <n v="4"/>
    <x v="0"/>
    <n v="2342"/>
    <n v="21437"/>
    <n v="0"/>
    <s v="Y"/>
    <x v="1"/>
    <n v="19"/>
    <n v="3"/>
    <n v="4"/>
    <n v="80"/>
    <n v="0"/>
    <n v="3"/>
    <n v="2"/>
    <n v="2"/>
    <x v="4"/>
    <m/>
    <n v="2"/>
    <n v="2"/>
    <n v="2"/>
  </r>
  <r>
    <n v="45"/>
    <x v="1"/>
    <x v="0"/>
    <n v="1234"/>
    <x v="0"/>
    <n v="11"/>
    <n v="2"/>
    <x v="0"/>
    <n v="1"/>
    <n v="1045"/>
    <n v="4"/>
    <x v="0"/>
    <n v="90"/>
    <n v="3"/>
    <n v="4"/>
    <x v="5"/>
    <n v="4"/>
    <x v="1"/>
    <n v="17650"/>
    <n v="5404"/>
    <n v="3"/>
    <s v="Y"/>
    <x v="1"/>
    <n v="13"/>
    <n v="3"/>
    <n v="2"/>
    <n v="80"/>
    <n v="1"/>
    <n v="26"/>
    <n v="4"/>
    <n v="4"/>
    <x v="7"/>
    <m/>
    <n v="3"/>
    <n v="1"/>
    <n v="1"/>
  </r>
  <r>
    <n v="32"/>
    <x v="1"/>
    <x v="2"/>
    <n v="1109"/>
    <x v="1"/>
    <n v="29"/>
    <n v="4"/>
    <x v="2"/>
    <n v="1"/>
    <n v="1046"/>
    <n v="4"/>
    <x v="0"/>
    <n v="69"/>
    <n v="3"/>
    <n v="1"/>
    <x v="2"/>
    <n v="3"/>
    <x v="0"/>
    <n v="4025"/>
    <n v="11135"/>
    <n v="9"/>
    <s v="Y"/>
    <x v="1"/>
    <n v="12"/>
    <n v="3"/>
    <n v="2"/>
    <n v="80"/>
    <n v="0"/>
    <n v="10"/>
    <n v="2"/>
    <n v="3"/>
    <x v="3"/>
    <m/>
    <n v="7"/>
    <n v="7"/>
    <n v="7"/>
  </r>
  <r>
    <n v="34"/>
    <x v="1"/>
    <x v="0"/>
    <n v="216"/>
    <x v="0"/>
    <n v="1"/>
    <n v="4"/>
    <x v="3"/>
    <n v="1"/>
    <n v="1047"/>
    <n v="2"/>
    <x v="1"/>
    <n v="75"/>
    <n v="4"/>
    <n v="2"/>
    <x v="0"/>
    <n v="4"/>
    <x v="2"/>
    <n v="9725"/>
    <n v="12278"/>
    <n v="0"/>
    <s v="Y"/>
    <x v="1"/>
    <n v="11"/>
    <n v="3"/>
    <n v="4"/>
    <n v="80"/>
    <n v="1"/>
    <n v="16"/>
    <n v="2"/>
    <n v="2"/>
    <x v="15"/>
    <m/>
    <n v="1"/>
    <n v="0"/>
    <n v="9"/>
  </r>
  <r>
    <n v="59"/>
    <x v="1"/>
    <x v="0"/>
    <n v="1089"/>
    <x v="0"/>
    <n v="1"/>
    <n v="2"/>
    <x v="4"/>
    <n v="1"/>
    <n v="1048"/>
    <n v="2"/>
    <x v="1"/>
    <n v="66"/>
    <n v="3"/>
    <n v="3"/>
    <x v="5"/>
    <n v="4"/>
    <x v="1"/>
    <n v="11904"/>
    <n v="11038"/>
    <n v="3"/>
    <s v="Y"/>
    <x v="0"/>
    <n v="14"/>
    <n v="3"/>
    <n v="3"/>
    <n v="80"/>
    <n v="1"/>
    <n v="14"/>
    <n v="1"/>
    <n v="1"/>
    <x v="0"/>
    <m/>
    <n v="4"/>
    <n v="0"/>
    <n v="4"/>
  </r>
  <r>
    <n v="45"/>
    <x v="1"/>
    <x v="0"/>
    <n v="788"/>
    <x v="2"/>
    <n v="24"/>
    <n v="4"/>
    <x v="2"/>
    <n v="1"/>
    <n v="1049"/>
    <n v="2"/>
    <x v="1"/>
    <n v="36"/>
    <n v="3"/>
    <n v="1"/>
    <x v="8"/>
    <n v="2"/>
    <x v="0"/>
    <n v="2177"/>
    <n v="8318"/>
    <n v="1"/>
    <s v="Y"/>
    <x v="1"/>
    <n v="16"/>
    <n v="3"/>
    <n v="1"/>
    <n v="80"/>
    <n v="0"/>
    <n v="6"/>
    <n v="3"/>
    <n v="3"/>
    <x v="0"/>
    <m/>
    <n v="3"/>
    <n v="0"/>
    <n v="4"/>
  </r>
  <r>
    <n v="53"/>
    <x v="1"/>
    <x v="1"/>
    <n v="124"/>
    <x v="0"/>
    <n v="2"/>
    <n v="3"/>
    <x v="3"/>
    <n v="1"/>
    <n v="1050"/>
    <n v="3"/>
    <x v="0"/>
    <n v="38"/>
    <n v="2"/>
    <n v="3"/>
    <x v="0"/>
    <n v="2"/>
    <x v="1"/>
    <n v="7525"/>
    <n v="23537"/>
    <n v="2"/>
    <s v="Y"/>
    <x v="1"/>
    <n v="12"/>
    <n v="3"/>
    <n v="1"/>
    <n v="80"/>
    <n v="1"/>
    <n v="30"/>
    <n v="2"/>
    <n v="3"/>
    <x v="15"/>
    <m/>
    <n v="7"/>
    <n v="6"/>
    <n v="12"/>
  </r>
  <r>
    <n v="36"/>
    <x v="0"/>
    <x v="0"/>
    <n v="660"/>
    <x v="1"/>
    <n v="15"/>
    <n v="3"/>
    <x v="1"/>
    <n v="1"/>
    <n v="1052"/>
    <n v="1"/>
    <x v="1"/>
    <n v="81"/>
    <n v="3"/>
    <n v="2"/>
    <x v="2"/>
    <n v="3"/>
    <x v="2"/>
    <n v="4834"/>
    <n v="7858"/>
    <n v="7"/>
    <s v="Y"/>
    <x v="1"/>
    <n v="14"/>
    <n v="3"/>
    <n v="2"/>
    <n v="80"/>
    <n v="1"/>
    <n v="9"/>
    <n v="3"/>
    <n v="2"/>
    <x v="6"/>
    <m/>
    <n v="0"/>
    <n v="0"/>
    <n v="0"/>
  </r>
  <r>
    <n v="26"/>
    <x v="0"/>
    <x v="1"/>
    <n v="342"/>
    <x v="1"/>
    <n v="2"/>
    <n v="3"/>
    <x v="0"/>
    <n v="1"/>
    <n v="1053"/>
    <n v="1"/>
    <x v="1"/>
    <n v="57"/>
    <n v="3"/>
    <n v="1"/>
    <x v="1"/>
    <n v="1"/>
    <x v="1"/>
    <n v="2042"/>
    <n v="15346"/>
    <n v="6"/>
    <s v="Y"/>
    <x v="0"/>
    <n v="14"/>
    <n v="3"/>
    <n v="2"/>
    <n v="80"/>
    <n v="1"/>
    <n v="6"/>
    <n v="2"/>
    <n v="3"/>
    <x v="11"/>
    <m/>
    <n v="2"/>
    <n v="1"/>
    <n v="2"/>
  </r>
  <r>
    <n v="34"/>
    <x v="1"/>
    <x v="0"/>
    <n v="1333"/>
    <x v="0"/>
    <n v="10"/>
    <n v="4"/>
    <x v="0"/>
    <n v="1"/>
    <n v="1055"/>
    <n v="3"/>
    <x v="0"/>
    <n v="87"/>
    <n v="3"/>
    <n v="1"/>
    <x v="6"/>
    <n v="3"/>
    <x v="1"/>
    <n v="2220"/>
    <n v="18410"/>
    <n v="1"/>
    <s v="Y"/>
    <x v="0"/>
    <n v="19"/>
    <n v="3"/>
    <n v="4"/>
    <n v="80"/>
    <n v="1"/>
    <n v="1"/>
    <n v="2"/>
    <n v="3"/>
    <x v="6"/>
    <m/>
    <n v="1"/>
    <n v="0"/>
    <n v="0"/>
  </r>
  <r>
    <n v="28"/>
    <x v="1"/>
    <x v="0"/>
    <n v="1144"/>
    <x v="0"/>
    <n v="10"/>
    <n v="1"/>
    <x v="2"/>
    <n v="1"/>
    <n v="1056"/>
    <n v="4"/>
    <x v="1"/>
    <n v="74"/>
    <n v="3"/>
    <n v="1"/>
    <x v="6"/>
    <n v="2"/>
    <x v="1"/>
    <n v="1052"/>
    <n v="23384"/>
    <n v="1"/>
    <s v="Y"/>
    <x v="1"/>
    <n v="22"/>
    <n v="4"/>
    <n v="2"/>
    <n v="80"/>
    <n v="0"/>
    <n v="1"/>
    <n v="5"/>
    <n v="3"/>
    <x v="6"/>
    <m/>
    <n v="0"/>
    <n v="0"/>
    <n v="0"/>
  </r>
  <r>
    <n v="38"/>
    <x v="1"/>
    <x v="1"/>
    <n v="1186"/>
    <x v="1"/>
    <n v="3"/>
    <n v="4"/>
    <x v="1"/>
    <n v="1"/>
    <n v="1060"/>
    <n v="3"/>
    <x v="1"/>
    <n v="44"/>
    <n v="3"/>
    <n v="1"/>
    <x v="1"/>
    <n v="3"/>
    <x v="1"/>
    <n v="2821"/>
    <n v="2997"/>
    <n v="3"/>
    <s v="Y"/>
    <x v="1"/>
    <n v="16"/>
    <n v="3"/>
    <n v="1"/>
    <n v="80"/>
    <n v="1"/>
    <n v="8"/>
    <n v="2"/>
    <n v="3"/>
    <x v="4"/>
    <m/>
    <n v="2"/>
    <n v="2"/>
    <n v="2"/>
  </r>
  <r>
    <n v="50"/>
    <x v="1"/>
    <x v="0"/>
    <n v="1464"/>
    <x v="1"/>
    <n v="2"/>
    <n v="4"/>
    <x v="2"/>
    <n v="1"/>
    <n v="1061"/>
    <n v="2"/>
    <x v="1"/>
    <n v="62"/>
    <n v="3"/>
    <n v="5"/>
    <x v="7"/>
    <n v="3"/>
    <x v="1"/>
    <n v="19237"/>
    <n v="12853"/>
    <n v="2"/>
    <s v="Y"/>
    <x v="0"/>
    <n v="11"/>
    <n v="3"/>
    <n v="4"/>
    <n v="80"/>
    <n v="1"/>
    <n v="29"/>
    <n v="2"/>
    <n v="2"/>
    <x v="3"/>
    <m/>
    <n v="1"/>
    <n v="7"/>
    <n v="7"/>
  </r>
  <r>
    <n v="37"/>
    <x v="1"/>
    <x v="0"/>
    <n v="124"/>
    <x v="1"/>
    <n v="3"/>
    <n v="3"/>
    <x v="1"/>
    <n v="1"/>
    <n v="1062"/>
    <n v="4"/>
    <x v="0"/>
    <n v="35"/>
    <n v="3"/>
    <n v="2"/>
    <x v="4"/>
    <n v="2"/>
    <x v="0"/>
    <n v="4107"/>
    <n v="13848"/>
    <n v="3"/>
    <s v="Y"/>
    <x v="1"/>
    <n v="15"/>
    <n v="3"/>
    <n v="1"/>
    <n v="80"/>
    <n v="0"/>
    <n v="8"/>
    <n v="3"/>
    <n v="2"/>
    <x v="9"/>
    <m/>
    <n v="3"/>
    <n v="0"/>
    <n v="1"/>
  </r>
  <r>
    <n v="40"/>
    <x v="1"/>
    <x v="0"/>
    <n v="300"/>
    <x v="0"/>
    <n v="26"/>
    <n v="3"/>
    <x v="3"/>
    <n v="1"/>
    <n v="1066"/>
    <n v="3"/>
    <x v="1"/>
    <n v="74"/>
    <n v="3"/>
    <n v="2"/>
    <x v="0"/>
    <n v="1"/>
    <x v="1"/>
    <n v="8396"/>
    <n v="22217"/>
    <n v="1"/>
    <s v="Y"/>
    <x v="1"/>
    <n v="14"/>
    <n v="3"/>
    <n v="2"/>
    <n v="80"/>
    <n v="1"/>
    <n v="8"/>
    <n v="3"/>
    <n v="2"/>
    <x v="5"/>
    <m/>
    <n v="7"/>
    <n v="7"/>
    <n v="5"/>
  </r>
  <r>
    <n v="26"/>
    <x v="1"/>
    <x v="1"/>
    <n v="921"/>
    <x v="1"/>
    <n v="1"/>
    <n v="1"/>
    <x v="2"/>
    <n v="1"/>
    <n v="1068"/>
    <n v="1"/>
    <x v="0"/>
    <n v="66"/>
    <n v="2"/>
    <n v="1"/>
    <x v="1"/>
    <n v="3"/>
    <x v="2"/>
    <n v="2007"/>
    <n v="25265"/>
    <n v="1"/>
    <s v="Y"/>
    <x v="1"/>
    <n v="13"/>
    <n v="3"/>
    <n v="3"/>
    <n v="80"/>
    <n v="2"/>
    <n v="5"/>
    <n v="5"/>
    <n v="3"/>
    <x v="8"/>
    <m/>
    <n v="3"/>
    <n v="1"/>
    <n v="3"/>
  </r>
  <r>
    <n v="46"/>
    <x v="1"/>
    <x v="0"/>
    <n v="430"/>
    <x v="1"/>
    <n v="1"/>
    <n v="4"/>
    <x v="2"/>
    <n v="1"/>
    <n v="1069"/>
    <n v="4"/>
    <x v="1"/>
    <n v="40"/>
    <n v="3"/>
    <n v="5"/>
    <x v="7"/>
    <n v="4"/>
    <x v="2"/>
    <n v="19627"/>
    <n v="21445"/>
    <n v="9"/>
    <s v="Y"/>
    <x v="1"/>
    <n v="17"/>
    <n v="3"/>
    <n v="4"/>
    <n v="80"/>
    <n v="2"/>
    <n v="23"/>
    <n v="0"/>
    <n v="3"/>
    <x v="4"/>
    <m/>
    <n v="2"/>
    <n v="2"/>
    <n v="2"/>
  </r>
  <r>
    <n v="54"/>
    <x v="1"/>
    <x v="0"/>
    <n v="1082"/>
    <x v="0"/>
    <n v="2"/>
    <n v="4"/>
    <x v="0"/>
    <n v="1"/>
    <n v="1070"/>
    <n v="3"/>
    <x v="0"/>
    <n v="41"/>
    <n v="2"/>
    <n v="3"/>
    <x v="0"/>
    <n v="3"/>
    <x v="1"/>
    <n v="10686"/>
    <n v="8392"/>
    <n v="6"/>
    <s v="Y"/>
    <x v="1"/>
    <n v="11"/>
    <n v="3"/>
    <n v="2"/>
    <n v="80"/>
    <n v="1"/>
    <n v="13"/>
    <n v="4"/>
    <n v="3"/>
    <x v="7"/>
    <m/>
    <n v="4"/>
    <n v="7"/>
    <n v="0"/>
  </r>
  <r>
    <n v="56"/>
    <x v="1"/>
    <x v="1"/>
    <n v="1240"/>
    <x v="1"/>
    <n v="9"/>
    <n v="3"/>
    <x v="2"/>
    <n v="1"/>
    <n v="1071"/>
    <n v="1"/>
    <x v="0"/>
    <n v="63"/>
    <n v="3"/>
    <n v="1"/>
    <x v="1"/>
    <n v="3"/>
    <x v="1"/>
    <n v="2942"/>
    <n v="12154"/>
    <n v="2"/>
    <s v="Y"/>
    <x v="1"/>
    <n v="19"/>
    <n v="3"/>
    <n v="2"/>
    <n v="80"/>
    <n v="1"/>
    <n v="18"/>
    <n v="4"/>
    <n v="3"/>
    <x v="8"/>
    <m/>
    <n v="4"/>
    <n v="0"/>
    <n v="3"/>
  </r>
  <r>
    <n v="36"/>
    <x v="1"/>
    <x v="0"/>
    <n v="796"/>
    <x v="1"/>
    <n v="12"/>
    <n v="5"/>
    <x v="2"/>
    <n v="1"/>
    <n v="1073"/>
    <n v="4"/>
    <x v="0"/>
    <n v="51"/>
    <n v="2"/>
    <n v="3"/>
    <x v="3"/>
    <n v="4"/>
    <x v="0"/>
    <n v="8858"/>
    <n v="15669"/>
    <n v="0"/>
    <s v="Y"/>
    <x v="1"/>
    <n v="11"/>
    <n v="3"/>
    <n v="2"/>
    <n v="80"/>
    <n v="0"/>
    <n v="15"/>
    <n v="2"/>
    <n v="2"/>
    <x v="13"/>
    <m/>
    <n v="8"/>
    <n v="7"/>
    <n v="8"/>
  </r>
  <r>
    <n v="55"/>
    <x v="1"/>
    <x v="2"/>
    <n v="444"/>
    <x v="1"/>
    <n v="2"/>
    <n v="1"/>
    <x v="2"/>
    <n v="1"/>
    <n v="1074"/>
    <n v="3"/>
    <x v="1"/>
    <n v="40"/>
    <n v="2"/>
    <n v="4"/>
    <x v="5"/>
    <n v="1"/>
    <x v="0"/>
    <n v="16756"/>
    <n v="17323"/>
    <n v="7"/>
    <s v="Y"/>
    <x v="1"/>
    <n v="15"/>
    <n v="3"/>
    <n v="2"/>
    <n v="80"/>
    <n v="0"/>
    <n v="31"/>
    <n v="3"/>
    <n v="4"/>
    <x v="7"/>
    <m/>
    <n v="7"/>
    <n v="6"/>
    <n v="2"/>
  </r>
  <r>
    <n v="43"/>
    <x v="1"/>
    <x v="0"/>
    <n v="415"/>
    <x v="0"/>
    <n v="25"/>
    <n v="3"/>
    <x v="2"/>
    <n v="1"/>
    <n v="1076"/>
    <n v="3"/>
    <x v="1"/>
    <n v="79"/>
    <n v="2"/>
    <n v="3"/>
    <x v="0"/>
    <n v="4"/>
    <x v="2"/>
    <n v="10798"/>
    <n v="5268"/>
    <n v="5"/>
    <s v="Y"/>
    <x v="1"/>
    <n v="13"/>
    <n v="3"/>
    <n v="3"/>
    <n v="80"/>
    <n v="1"/>
    <n v="18"/>
    <n v="5"/>
    <n v="3"/>
    <x v="6"/>
    <m/>
    <n v="0"/>
    <n v="0"/>
    <n v="0"/>
  </r>
  <r>
    <n v="20"/>
    <x v="0"/>
    <x v="1"/>
    <n v="769"/>
    <x v="0"/>
    <n v="9"/>
    <n v="3"/>
    <x v="3"/>
    <n v="1"/>
    <n v="1077"/>
    <n v="4"/>
    <x v="0"/>
    <n v="54"/>
    <n v="3"/>
    <n v="1"/>
    <x v="6"/>
    <n v="4"/>
    <x v="0"/>
    <n v="2323"/>
    <n v="17205"/>
    <n v="1"/>
    <s v="Y"/>
    <x v="0"/>
    <n v="14"/>
    <n v="3"/>
    <n v="2"/>
    <n v="80"/>
    <n v="0"/>
    <n v="2"/>
    <n v="3"/>
    <n v="3"/>
    <x v="4"/>
    <m/>
    <n v="2"/>
    <n v="0"/>
    <n v="2"/>
  </r>
  <r>
    <n v="21"/>
    <x v="0"/>
    <x v="0"/>
    <n v="1334"/>
    <x v="1"/>
    <n v="10"/>
    <n v="3"/>
    <x v="0"/>
    <n v="1"/>
    <n v="1079"/>
    <n v="3"/>
    <x v="0"/>
    <n v="36"/>
    <n v="2"/>
    <n v="1"/>
    <x v="2"/>
    <n v="1"/>
    <x v="0"/>
    <n v="1416"/>
    <n v="17258"/>
    <n v="1"/>
    <s v="Y"/>
    <x v="1"/>
    <n v="13"/>
    <n v="3"/>
    <n v="1"/>
    <n v="80"/>
    <n v="0"/>
    <n v="1"/>
    <n v="6"/>
    <n v="2"/>
    <x v="6"/>
    <m/>
    <n v="0"/>
    <n v="1"/>
    <n v="0"/>
  </r>
  <r>
    <n v="46"/>
    <x v="1"/>
    <x v="0"/>
    <n v="1003"/>
    <x v="1"/>
    <n v="8"/>
    <n v="4"/>
    <x v="0"/>
    <n v="1"/>
    <n v="1080"/>
    <n v="4"/>
    <x v="0"/>
    <n v="74"/>
    <n v="2"/>
    <n v="2"/>
    <x v="1"/>
    <n v="1"/>
    <x v="2"/>
    <n v="4615"/>
    <n v="21029"/>
    <n v="8"/>
    <s v="Y"/>
    <x v="0"/>
    <n v="23"/>
    <n v="4"/>
    <n v="1"/>
    <n v="80"/>
    <n v="3"/>
    <n v="19"/>
    <n v="2"/>
    <n v="3"/>
    <x v="22"/>
    <m/>
    <n v="13"/>
    <n v="1"/>
    <n v="7"/>
  </r>
  <r>
    <n v="51"/>
    <x v="0"/>
    <x v="0"/>
    <n v="1323"/>
    <x v="1"/>
    <n v="4"/>
    <n v="4"/>
    <x v="0"/>
    <n v="1"/>
    <n v="1081"/>
    <n v="1"/>
    <x v="1"/>
    <n v="34"/>
    <n v="3"/>
    <n v="1"/>
    <x v="1"/>
    <n v="3"/>
    <x v="1"/>
    <n v="2461"/>
    <n v="10332"/>
    <n v="9"/>
    <s v="Y"/>
    <x v="0"/>
    <n v="12"/>
    <n v="3"/>
    <n v="3"/>
    <n v="80"/>
    <n v="3"/>
    <n v="18"/>
    <n v="2"/>
    <n v="4"/>
    <x v="1"/>
    <m/>
    <n v="0"/>
    <n v="2"/>
    <n v="7"/>
  </r>
  <r>
    <n v="28"/>
    <x v="0"/>
    <x v="2"/>
    <n v="1366"/>
    <x v="1"/>
    <n v="24"/>
    <n v="2"/>
    <x v="4"/>
    <n v="1"/>
    <n v="1082"/>
    <n v="2"/>
    <x v="1"/>
    <n v="72"/>
    <n v="2"/>
    <n v="3"/>
    <x v="4"/>
    <n v="1"/>
    <x v="0"/>
    <n v="8722"/>
    <n v="12355"/>
    <n v="1"/>
    <s v="Y"/>
    <x v="1"/>
    <n v="12"/>
    <n v="3"/>
    <n v="1"/>
    <n v="80"/>
    <n v="0"/>
    <n v="10"/>
    <n v="2"/>
    <n v="2"/>
    <x v="1"/>
    <m/>
    <n v="7"/>
    <n v="1"/>
    <n v="9"/>
  </r>
  <r>
    <n v="26"/>
    <x v="1"/>
    <x v="0"/>
    <n v="192"/>
    <x v="1"/>
    <n v="1"/>
    <n v="2"/>
    <x v="2"/>
    <n v="1"/>
    <n v="1083"/>
    <n v="1"/>
    <x v="1"/>
    <n v="59"/>
    <n v="2"/>
    <n v="1"/>
    <x v="2"/>
    <n v="1"/>
    <x v="1"/>
    <n v="3955"/>
    <n v="11141"/>
    <n v="1"/>
    <s v="Y"/>
    <x v="1"/>
    <n v="16"/>
    <n v="3"/>
    <n v="1"/>
    <n v="80"/>
    <n v="2"/>
    <n v="6"/>
    <n v="2"/>
    <n v="3"/>
    <x v="8"/>
    <m/>
    <n v="3"/>
    <n v="1"/>
    <n v="3"/>
  </r>
  <r>
    <n v="30"/>
    <x v="1"/>
    <x v="0"/>
    <n v="1176"/>
    <x v="1"/>
    <n v="20"/>
    <n v="3"/>
    <x v="1"/>
    <n v="1"/>
    <n v="1084"/>
    <n v="3"/>
    <x v="1"/>
    <n v="85"/>
    <n v="3"/>
    <n v="2"/>
    <x v="3"/>
    <n v="1"/>
    <x v="1"/>
    <n v="9957"/>
    <n v="9096"/>
    <n v="0"/>
    <s v="Y"/>
    <x v="1"/>
    <n v="15"/>
    <n v="3"/>
    <n v="3"/>
    <n v="80"/>
    <n v="1"/>
    <n v="7"/>
    <n v="1"/>
    <n v="2"/>
    <x v="0"/>
    <m/>
    <n v="2"/>
    <n v="0"/>
    <n v="2"/>
  </r>
  <r>
    <n v="41"/>
    <x v="1"/>
    <x v="0"/>
    <n v="509"/>
    <x v="1"/>
    <n v="7"/>
    <n v="2"/>
    <x v="4"/>
    <n v="1"/>
    <n v="1085"/>
    <n v="2"/>
    <x v="0"/>
    <n v="43"/>
    <n v="4"/>
    <n v="1"/>
    <x v="1"/>
    <n v="3"/>
    <x v="1"/>
    <n v="3376"/>
    <n v="18863"/>
    <n v="1"/>
    <s v="Y"/>
    <x v="1"/>
    <n v="13"/>
    <n v="3"/>
    <n v="3"/>
    <n v="80"/>
    <n v="0"/>
    <n v="10"/>
    <n v="3"/>
    <n v="3"/>
    <x v="1"/>
    <m/>
    <n v="6"/>
    <n v="0"/>
    <n v="8"/>
  </r>
  <r>
    <n v="38"/>
    <x v="1"/>
    <x v="0"/>
    <n v="330"/>
    <x v="1"/>
    <n v="17"/>
    <n v="1"/>
    <x v="0"/>
    <n v="1"/>
    <n v="1088"/>
    <n v="3"/>
    <x v="0"/>
    <n v="65"/>
    <n v="2"/>
    <n v="3"/>
    <x v="4"/>
    <n v="3"/>
    <x v="1"/>
    <n v="8823"/>
    <n v="24608"/>
    <n v="0"/>
    <s v="Y"/>
    <x v="1"/>
    <n v="18"/>
    <n v="3"/>
    <n v="1"/>
    <n v="80"/>
    <n v="1"/>
    <n v="20"/>
    <n v="4"/>
    <n v="2"/>
    <x v="27"/>
    <m/>
    <n v="9"/>
    <n v="1"/>
    <n v="9"/>
  </r>
  <r>
    <n v="40"/>
    <x v="1"/>
    <x v="0"/>
    <n v="1492"/>
    <x v="1"/>
    <n v="20"/>
    <n v="4"/>
    <x v="4"/>
    <n v="1"/>
    <n v="1092"/>
    <n v="1"/>
    <x v="1"/>
    <n v="61"/>
    <n v="3"/>
    <n v="3"/>
    <x v="4"/>
    <n v="4"/>
    <x v="1"/>
    <n v="10322"/>
    <n v="26542"/>
    <n v="4"/>
    <s v="Y"/>
    <x v="1"/>
    <n v="20"/>
    <n v="4"/>
    <n v="4"/>
    <n v="80"/>
    <n v="1"/>
    <n v="14"/>
    <n v="6"/>
    <n v="3"/>
    <x v="19"/>
    <m/>
    <n v="10"/>
    <n v="11"/>
    <n v="1"/>
  </r>
  <r>
    <n v="27"/>
    <x v="1"/>
    <x v="2"/>
    <n v="1277"/>
    <x v="1"/>
    <n v="8"/>
    <n v="5"/>
    <x v="0"/>
    <n v="1"/>
    <n v="1094"/>
    <n v="1"/>
    <x v="1"/>
    <n v="87"/>
    <n v="1"/>
    <n v="1"/>
    <x v="2"/>
    <n v="3"/>
    <x v="1"/>
    <n v="4621"/>
    <n v="5869"/>
    <n v="1"/>
    <s v="Y"/>
    <x v="1"/>
    <n v="19"/>
    <n v="3"/>
    <n v="4"/>
    <n v="80"/>
    <n v="3"/>
    <n v="3"/>
    <n v="4"/>
    <n v="3"/>
    <x v="11"/>
    <m/>
    <n v="2"/>
    <n v="1"/>
    <n v="2"/>
  </r>
  <r>
    <n v="55"/>
    <x v="1"/>
    <x v="1"/>
    <n v="1091"/>
    <x v="1"/>
    <n v="2"/>
    <n v="1"/>
    <x v="0"/>
    <n v="1"/>
    <n v="1096"/>
    <n v="4"/>
    <x v="1"/>
    <n v="65"/>
    <n v="3"/>
    <n v="3"/>
    <x v="3"/>
    <n v="2"/>
    <x v="1"/>
    <n v="10976"/>
    <n v="15813"/>
    <n v="3"/>
    <s v="Y"/>
    <x v="1"/>
    <n v="18"/>
    <n v="3"/>
    <n v="2"/>
    <n v="80"/>
    <n v="1"/>
    <n v="23"/>
    <n v="4"/>
    <n v="3"/>
    <x v="11"/>
    <m/>
    <n v="2"/>
    <n v="1"/>
    <n v="2"/>
  </r>
  <r>
    <n v="28"/>
    <x v="1"/>
    <x v="0"/>
    <n v="857"/>
    <x v="1"/>
    <n v="10"/>
    <n v="3"/>
    <x v="1"/>
    <n v="1"/>
    <n v="1097"/>
    <n v="3"/>
    <x v="0"/>
    <n v="59"/>
    <n v="3"/>
    <n v="2"/>
    <x v="1"/>
    <n v="3"/>
    <x v="0"/>
    <n v="3660"/>
    <n v="7909"/>
    <n v="3"/>
    <s v="Y"/>
    <x v="1"/>
    <n v="13"/>
    <n v="3"/>
    <n v="4"/>
    <n v="80"/>
    <n v="0"/>
    <n v="10"/>
    <n v="4"/>
    <n v="4"/>
    <x v="3"/>
    <m/>
    <n v="7"/>
    <n v="1"/>
    <n v="7"/>
  </r>
  <r>
    <n v="44"/>
    <x v="0"/>
    <x v="0"/>
    <n v="1376"/>
    <x v="2"/>
    <n v="1"/>
    <n v="2"/>
    <x v="2"/>
    <n v="1"/>
    <n v="1098"/>
    <n v="2"/>
    <x v="1"/>
    <n v="91"/>
    <n v="2"/>
    <n v="3"/>
    <x v="8"/>
    <n v="1"/>
    <x v="1"/>
    <n v="10482"/>
    <n v="2326"/>
    <n v="9"/>
    <s v="Y"/>
    <x v="1"/>
    <n v="14"/>
    <n v="3"/>
    <n v="4"/>
    <n v="80"/>
    <n v="1"/>
    <n v="24"/>
    <n v="1"/>
    <n v="3"/>
    <x v="23"/>
    <m/>
    <n v="6"/>
    <n v="3"/>
    <n v="6"/>
  </r>
  <r>
    <n v="33"/>
    <x v="1"/>
    <x v="0"/>
    <n v="654"/>
    <x v="1"/>
    <n v="5"/>
    <n v="3"/>
    <x v="0"/>
    <n v="1"/>
    <n v="1099"/>
    <n v="4"/>
    <x v="1"/>
    <n v="34"/>
    <n v="2"/>
    <n v="3"/>
    <x v="4"/>
    <n v="4"/>
    <x v="2"/>
    <n v="7119"/>
    <n v="21214"/>
    <n v="4"/>
    <s v="Y"/>
    <x v="1"/>
    <n v="15"/>
    <n v="3"/>
    <n v="3"/>
    <n v="80"/>
    <n v="1"/>
    <n v="9"/>
    <n v="2"/>
    <n v="3"/>
    <x v="11"/>
    <m/>
    <n v="2"/>
    <n v="1"/>
    <n v="2"/>
  </r>
  <r>
    <n v="35"/>
    <x v="0"/>
    <x v="0"/>
    <n v="1204"/>
    <x v="0"/>
    <n v="4"/>
    <n v="3"/>
    <x v="4"/>
    <n v="1"/>
    <n v="1100"/>
    <n v="4"/>
    <x v="1"/>
    <n v="86"/>
    <n v="3"/>
    <n v="3"/>
    <x v="0"/>
    <n v="1"/>
    <x v="0"/>
    <n v="9582"/>
    <n v="10333"/>
    <n v="0"/>
    <s v="Y"/>
    <x v="0"/>
    <n v="22"/>
    <n v="4"/>
    <n v="1"/>
    <n v="80"/>
    <n v="0"/>
    <n v="9"/>
    <n v="2"/>
    <n v="3"/>
    <x v="3"/>
    <m/>
    <n v="7"/>
    <n v="4"/>
    <n v="7"/>
  </r>
  <r>
    <n v="33"/>
    <x v="0"/>
    <x v="1"/>
    <n v="827"/>
    <x v="1"/>
    <n v="29"/>
    <n v="4"/>
    <x v="2"/>
    <n v="1"/>
    <n v="1101"/>
    <n v="1"/>
    <x v="0"/>
    <n v="54"/>
    <n v="2"/>
    <n v="2"/>
    <x v="1"/>
    <n v="3"/>
    <x v="0"/>
    <n v="4508"/>
    <n v="3129"/>
    <n v="1"/>
    <s v="Y"/>
    <x v="1"/>
    <n v="22"/>
    <n v="4"/>
    <n v="2"/>
    <n v="80"/>
    <n v="0"/>
    <n v="14"/>
    <n v="4"/>
    <n v="3"/>
    <x v="20"/>
    <m/>
    <n v="7"/>
    <n v="3"/>
    <n v="8"/>
  </r>
  <r>
    <n v="28"/>
    <x v="1"/>
    <x v="0"/>
    <n v="895"/>
    <x v="1"/>
    <n v="15"/>
    <n v="2"/>
    <x v="0"/>
    <n v="1"/>
    <n v="1102"/>
    <n v="1"/>
    <x v="1"/>
    <n v="50"/>
    <n v="3"/>
    <n v="1"/>
    <x v="2"/>
    <n v="3"/>
    <x v="2"/>
    <n v="2207"/>
    <n v="22482"/>
    <n v="1"/>
    <s v="Y"/>
    <x v="1"/>
    <n v="16"/>
    <n v="3"/>
    <n v="4"/>
    <n v="80"/>
    <n v="1"/>
    <n v="4"/>
    <n v="5"/>
    <n v="2"/>
    <x v="9"/>
    <m/>
    <n v="2"/>
    <n v="2"/>
    <n v="2"/>
  </r>
  <r>
    <n v="34"/>
    <x v="1"/>
    <x v="1"/>
    <n v="618"/>
    <x v="1"/>
    <n v="3"/>
    <n v="1"/>
    <x v="0"/>
    <n v="1"/>
    <n v="1103"/>
    <n v="1"/>
    <x v="1"/>
    <n v="45"/>
    <n v="3"/>
    <n v="2"/>
    <x v="4"/>
    <n v="4"/>
    <x v="0"/>
    <n v="7756"/>
    <n v="22266"/>
    <n v="0"/>
    <s v="Y"/>
    <x v="1"/>
    <n v="17"/>
    <n v="3"/>
    <n v="3"/>
    <n v="80"/>
    <n v="0"/>
    <n v="7"/>
    <n v="1"/>
    <n v="2"/>
    <x v="0"/>
    <m/>
    <n v="2"/>
    <n v="0"/>
    <n v="4"/>
  </r>
  <r>
    <n v="37"/>
    <x v="1"/>
    <x v="0"/>
    <n v="309"/>
    <x v="0"/>
    <n v="10"/>
    <n v="4"/>
    <x v="0"/>
    <n v="1"/>
    <n v="1105"/>
    <n v="4"/>
    <x v="0"/>
    <n v="88"/>
    <n v="2"/>
    <n v="2"/>
    <x v="0"/>
    <n v="4"/>
    <x v="2"/>
    <n v="6694"/>
    <n v="24223"/>
    <n v="2"/>
    <s v="Y"/>
    <x v="0"/>
    <n v="14"/>
    <n v="3"/>
    <n v="3"/>
    <n v="80"/>
    <n v="3"/>
    <n v="8"/>
    <n v="5"/>
    <n v="3"/>
    <x v="6"/>
    <m/>
    <n v="0"/>
    <n v="0"/>
    <n v="0"/>
  </r>
  <r>
    <n v="25"/>
    <x v="0"/>
    <x v="0"/>
    <n v="1219"/>
    <x v="1"/>
    <n v="4"/>
    <n v="1"/>
    <x v="4"/>
    <n v="1"/>
    <n v="1106"/>
    <n v="4"/>
    <x v="1"/>
    <n v="32"/>
    <n v="3"/>
    <n v="1"/>
    <x v="2"/>
    <n v="4"/>
    <x v="1"/>
    <n v="3691"/>
    <n v="4605"/>
    <n v="1"/>
    <s v="Y"/>
    <x v="0"/>
    <n v="15"/>
    <n v="3"/>
    <n v="2"/>
    <n v="80"/>
    <n v="1"/>
    <n v="7"/>
    <n v="3"/>
    <n v="4"/>
    <x v="5"/>
    <m/>
    <n v="7"/>
    <n v="5"/>
    <n v="6"/>
  </r>
  <r>
    <n v="26"/>
    <x v="0"/>
    <x v="0"/>
    <n v="1330"/>
    <x v="1"/>
    <n v="21"/>
    <n v="3"/>
    <x v="2"/>
    <n v="1"/>
    <n v="1107"/>
    <n v="1"/>
    <x v="1"/>
    <n v="37"/>
    <n v="3"/>
    <n v="1"/>
    <x v="2"/>
    <n v="3"/>
    <x v="2"/>
    <n v="2377"/>
    <n v="19373"/>
    <n v="1"/>
    <s v="Y"/>
    <x v="1"/>
    <n v="20"/>
    <n v="4"/>
    <n v="3"/>
    <n v="80"/>
    <n v="1"/>
    <n v="1"/>
    <n v="0"/>
    <n v="2"/>
    <x v="6"/>
    <m/>
    <n v="1"/>
    <n v="0"/>
    <n v="0"/>
  </r>
  <r>
    <n v="33"/>
    <x v="0"/>
    <x v="0"/>
    <n v="1017"/>
    <x v="1"/>
    <n v="25"/>
    <n v="3"/>
    <x v="2"/>
    <n v="1"/>
    <n v="1108"/>
    <n v="1"/>
    <x v="1"/>
    <n v="55"/>
    <n v="2"/>
    <n v="1"/>
    <x v="1"/>
    <n v="2"/>
    <x v="0"/>
    <n v="2313"/>
    <n v="2993"/>
    <n v="4"/>
    <s v="Y"/>
    <x v="0"/>
    <n v="20"/>
    <n v="4"/>
    <n v="2"/>
    <n v="80"/>
    <n v="0"/>
    <n v="5"/>
    <n v="0"/>
    <n v="3"/>
    <x v="4"/>
    <m/>
    <n v="2"/>
    <n v="2"/>
    <n v="2"/>
  </r>
  <r>
    <n v="42"/>
    <x v="1"/>
    <x v="0"/>
    <n v="469"/>
    <x v="1"/>
    <n v="2"/>
    <n v="2"/>
    <x v="2"/>
    <n v="1"/>
    <n v="1109"/>
    <n v="4"/>
    <x v="1"/>
    <n v="35"/>
    <n v="3"/>
    <n v="4"/>
    <x v="5"/>
    <n v="1"/>
    <x v="1"/>
    <n v="17665"/>
    <n v="14399"/>
    <n v="0"/>
    <s v="Y"/>
    <x v="1"/>
    <n v="17"/>
    <n v="3"/>
    <n v="4"/>
    <n v="80"/>
    <n v="1"/>
    <n v="23"/>
    <n v="3"/>
    <n v="3"/>
    <x v="14"/>
    <m/>
    <n v="6"/>
    <n v="13"/>
    <n v="7"/>
  </r>
  <r>
    <n v="28"/>
    <x v="0"/>
    <x v="1"/>
    <n v="1009"/>
    <x v="1"/>
    <n v="1"/>
    <n v="3"/>
    <x v="2"/>
    <n v="1"/>
    <n v="1111"/>
    <n v="1"/>
    <x v="1"/>
    <n v="45"/>
    <n v="2"/>
    <n v="1"/>
    <x v="2"/>
    <n v="2"/>
    <x v="2"/>
    <n v="2596"/>
    <n v="7160"/>
    <n v="1"/>
    <s v="Y"/>
    <x v="1"/>
    <n v="15"/>
    <n v="3"/>
    <n v="1"/>
    <n v="80"/>
    <n v="2"/>
    <n v="1"/>
    <n v="2"/>
    <n v="3"/>
    <x v="6"/>
    <m/>
    <n v="0"/>
    <n v="0"/>
    <n v="0"/>
  </r>
  <r>
    <n v="50"/>
    <x v="0"/>
    <x v="1"/>
    <n v="959"/>
    <x v="0"/>
    <n v="1"/>
    <n v="4"/>
    <x v="1"/>
    <n v="1"/>
    <n v="1113"/>
    <n v="4"/>
    <x v="1"/>
    <n v="81"/>
    <n v="3"/>
    <n v="2"/>
    <x v="0"/>
    <n v="3"/>
    <x v="0"/>
    <n v="4728"/>
    <n v="17251"/>
    <n v="3"/>
    <s v="Y"/>
    <x v="0"/>
    <n v="14"/>
    <n v="3"/>
    <n v="4"/>
    <n v="80"/>
    <n v="0"/>
    <n v="5"/>
    <n v="4"/>
    <n v="3"/>
    <x v="2"/>
    <m/>
    <n v="0"/>
    <n v="0"/>
    <n v="0"/>
  </r>
  <r>
    <n v="33"/>
    <x v="1"/>
    <x v="1"/>
    <n v="970"/>
    <x v="0"/>
    <n v="7"/>
    <n v="3"/>
    <x v="0"/>
    <n v="1"/>
    <n v="1114"/>
    <n v="4"/>
    <x v="0"/>
    <n v="30"/>
    <n v="3"/>
    <n v="2"/>
    <x v="0"/>
    <n v="2"/>
    <x v="1"/>
    <n v="4302"/>
    <n v="13401"/>
    <n v="0"/>
    <s v="Y"/>
    <x v="1"/>
    <n v="17"/>
    <n v="3"/>
    <n v="3"/>
    <n v="80"/>
    <n v="1"/>
    <n v="4"/>
    <n v="3"/>
    <n v="3"/>
    <x v="11"/>
    <m/>
    <n v="2"/>
    <n v="0"/>
    <n v="2"/>
  </r>
  <r>
    <n v="34"/>
    <x v="1"/>
    <x v="2"/>
    <n v="697"/>
    <x v="1"/>
    <n v="3"/>
    <n v="4"/>
    <x v="0"/>
    <n v="1"/>
    <n v="1115"/>
    <n v="3"/>
    <x v="1"/>
    <n v="40"/>
    <n v="2"/>
    <n v="1"/>
    <x v="1"/>
    <n v="4"/>
    <x v="1"/>
    <n v="2979"/>
    <n v="22478"/>
    <n v="3"/>
    <s v="Y"/>
    <x v="1"/>
    <n v="17"/>
    <n v="3"/>
    <n v="4"/>
    <n v="80"/>
    <n v="3"/>
    <n v="6"/>
    <n v="2"/>
    <n v="3"/>
    <x v="2"/>
    <m/>
    <n v="0"/>
    <n v="0"/>
    <n v="0"/>
  </r>
  <r>
    <n v="48"/>
    <x v="1"/>
    <x v="2"/>
    <n v="1262"/>
    <x v="1"/>
    <n v="1"/>
    <n v="4"/>
    <x v="2"/>
    <n v="1"/>
    <n v="1116"/>
    <n v="1"/>
    <x v="1"/>
    <n v="35"/>
    <n v="4"/>
    <n v="4"/>
    <x v="5"/>
    <n v="4"/>
    <x v="0"/>
    <n v="16885"/>
    <n v="16154"/>
    <n v="2"/>
    <s v="Y"/>
    <x v="1"/>
    <n v="22"/>
    <n v="4"/>
    <n v="3"/>
    <n v="80"/>
    <n v="0"/>
    <n v="27"/>
    <n v="3"/>
    <n v="2"/>
    <x v="8"/>
    <m/>
    <n v="4"/>
    <n v="2"/>
    <n v="1"/>
  </r>
  <r>
    <n v="45"/>
    <x v="1"/>
    <x v="2"/>
    <n v="1050"/>
    <x v="0"/>
    <n v="9"/>
    <n v="4"/>
    <x v="0"/>
    <n v="1"/>
    <n v="1117"/>
    <n v="2"/>
    <x v="0"/>
    <n v="65"/>
    <n v="2"/>
    <n v="2"/>
    <x v="0"/>
    <n v="3"/>
    <x v="1"/>
    <n v="5593"/>
    <n v="17970"/>
    <n v="1"/>
    <s v="Y"/>
    <x v="1"/>
    <n v="13"/>
    <n v="3"/>
    <n v="4"/>
    <n v="80"/>
    <n v="1"/>
    <n v="15"/>
    <n v="2"/>
    <n v="3"/>
    <x v="15"/>
    <m/>
    <n v="10"/>
    <n v="4"/>
    <n v="12"/>
  </r>
  <r>
    <n v="52"/>
    <x v="1"/>
    <x v="0"/>
    <n v="994"/>
    <x v="1"/>
    <n v="7"/>
    <n v="4"/>
    <x v="0"/>
    <n v="1"/>
    <n v="1118"/>
    <n v="2"/>
    <x v="1"/>
    <n v="87"/>
    <n v="3"/>
    <n v="3"/>
    <x v="4"/>
    <n v="2"/>
    <x v="0"/>
    <n v="10445"/>
    <n v="15322"/>
    <n v="7"/>
    <s v="Y"/>
    <x v="1"/>
    <n v="19"/>
    <n v="3"/>
    <n v="4"/>
    <n v="80"/>
    <n v="0"/>
    <n v="18"/>
    <n v="4"/>
    <n v="3"/>
    <x v="3"/>
    <m/>
    <n v="6"/>
    <n v="4"/>
    <n v="0"/>
  </r>
  <r>
    <n v="38"/>
    <x v="1"/>
    <x v="0"/>
    <n v="770"/>
    <x v="0"/>
    <n v="10"/>
    <n v="4"/>
    <x v="3"/>
    <n v="1"/>
    <n v="1119"/>
    <n v="3"/>
    <x v="1"/>
    <n v="73"/>
    <n v="2"/>
    <n v="3"/>
    <x v="0"/>
    <n v="3"/>
    <x v="2"/>
    <n v="8740"/>
    <n v="5569"/>
    <n v="0"/>
    <s v="Y"/>
    <x v="0"/>
    <n v="14"/>
    <n v="3"/>
    <n v="2"/>
    <n v="80"/>
    <n v="2"/>
    <n v="9"/>
    <n v="2"/>
    <n v="3"/>
    <x v="3"/>
    <m/>
    <n v="7"/>
    <n v="2"/>
    <n v="7"/>
  </r>
  <r>
    <n v="29"/>
    <x v="1"/>
    <x v="0"/>
    <n v="1107"/>
    <x v="1"/>
    <n v="28"/>
    <n v="4"/>
    <x v="0"/>
    <n v="1"/>
    <n v="1120"/>
    <n v="3"/>
    <x v="0"/>
    <n v="93"/>
    <n v="3"/>
    <n v="1"/>
    <x v="1"/>
    <n v="4"/>
    <x v="2"/>
    <n v="2514"/>
    <n v="26968"/>
    <n v="4"/>
    <s v="Y"/>
    <x v="1"/>
    <n v="22"/>
    <n v="4"/>
    <n v="1"/>
    <n v="80"/>
    <n v="1"/>
    <n v="11"/>
    <n v="1"/>
    <n v="3"/>
    <x v="5"/>
    <m/>
    <n v="5"/>
    <n v="1"/>
    <n v="7"/>
  </r>
  <r>
    <n v="28"/>
    <x v="1"/>
    <x v="0"/>
    <n v="950"/>
    <x v="1"/>
    <n v="3"/>
    <n v="3"/>
    <x v="2"/>
    <n v="1"/>
    <n v="1121"/>
    <n v="4"/>
    <x v="0"/>
    <n v="93"/>
    <n v="3"/>
    <n v="3"/>
    <x v="3"/>
    <n v="2"/>
    <x v="2"/>
    <n v="7655"/>
    <n v="8039"/>
    <n v="0"/>
    <s v="Y"/>
    <x v="1"/>
    <n v="17"/>
    <n v="3"/>
    <n v="2"/>
    <n v="80"/>
    <n v="3"/>
    <n v="10"/>
    <n v="3"/>
    <n v="2"/>
    <x v="7"/>
    <m/>
    <n v="7"/>
    <n v="1"/>
    <n v="7"/>
  </r>
  <r>
    <n v="46"/>
    <x v="1"/>
    <x v="0"/>
    <n v="406"/>
    <x v="0"/>
    <n v="3"/>
    <n v="1"/>
    <x v="3"/>
    <n v="1"/>
    <n v="1124"/>
    <n v="1"/>
    <x v="1"/>
    <n v="52"/>
    <n v="3"/>
    <n v="4"/>
    <x v="5"/>
    <n v="3"/>
    <x v="1"/>
    <n v="17465"/>
    <n v="15596"/>
    <n v="3"/>
    <s v="Y"/>
    <x v="1"/>
    <n v="12"/>
    <n v="3"/>
    <n v="4"/>
    <n v="80"/>
    <n v="1"/>
    <n v="23"/>
    <n v="3"/>
    <n v="3"/>
    <x v="12"/>
    <m/>
    <n v="9"/>
    <n v="4"/>
    <n v="9"/>
  </r>
  <r>
    <n v="38"/>
    <x v="1"/>
    <x v="0"/>
    <n v="130"/>
    <x v="0"/>
    <n v="2"/>
    <n v="2"/>
    <x v="3"/>
    <n v="1"/>
    <n v="1125"/>
    <n v="4"/>
    <x v="1"/>
    <n v="32"/>
    <n v="3"/>
    <n v="3"/>
    <x v="0"/>
    <n v="2"/>
    <x v="0"/>
    <n v="7351"/>
    <n v="20619"/>
    <n v="7"/>
    <s v="Y"/>
    <x v="1"/>
    <n v="16"/>
    <n v="3"/>
    <n v="3"/>
    <n v="80"/>
    <n v="0"/>
    <n v="10"/>
    <n v="2"/>
    <n v="3"/>
    <x v="6"/>
    <m/>
    <n v="0"/>
    <n v="0"/>
    <n v="0"/>
  </r>
  <r>
    <n v="43"/>
    <x v="1"/>
    <x v="1"/>
    <n v="1082"/>
    <x v="1"/>
    <n v="27"/>
    <n v="3"/>
    <x v="0"/>
    <n v="1"/>
    <n v="1126"/>
    <n v="3"/>
    <x v="0"/>
    <n v="83"/>
    <n v="3"/>
    <n v="3"/>
    <x v="3"/>
    <n v="1"/>
    <x v="1"/>
    <n v="10820"/>
    <n v="11535"/>
    <n v="8"/>
    <s v="Y"/>
    <x v="1"/>
    <n v="11"/>
    <n v="3"/>
    <n v="3"/>
    <n v="80"/>
    <n v="1"/>
    <n v="18"/>
    <n v="1"/>
    <n v="3"/>
    <x v="3"/>
    <m/>
    <n v="7"/>
    <n v="0"/>
    <n v="1"/>
  </r>
  <r>
    <n v="39"/>
    <x v="0"/>
    <x v="1"/>
    <n v="203"/>
    <x v="1"/>
    <n v="2"/>
    <n v="3"/>
    <x v="0"/>
    <n v="1"/>
    <n v="1127"/>
    <n v="1"/>
    <x v="1"/>
    <n v="84"/>
    <n v="3"/>
    <n v="4"/>
    <x v="4"/>
    <n v="4"/>
    <x v="2"/>
    <n v="12169"/>
    <n v="13547"/>
    <n v="7"/>
    <s v="Y"/>
    <x v="1"/>
    <n v="11"/>
    <n v="3"/>
    <n v="4"/>
    <n v="80"/>
    <n v="3"/>
    <n v="21"/>
    <n v="4"/>
    <n v="3"/>
    <x v="29"/>
    <m/>
    <n v="7"/>
    <n v="11"/>
    <n v="5"/>
  </r>
  <r>
    <n v="40"/>
    <x v="1"/>
    <x v="0"/>
    <n v="1308"/>
    <x v="1"/>
    <n v="14"/>
    <n v="3"/>
    <x v="2"/>
    <n v="1"/>
    <n v="1128"/>
    <n v="3"/>
    <x v="1"/>
    <n v="44"/>
    <n v="2"/>
    <n v="5"/>
    <x v="7"/>
    <n v="3"/>
    <x v="0"/>
    <n v="19626"/>
    <n v="17544"/>
    <n v="1"/>
    <s v="Y"/>
    <x v="1"/>
    <n v="14"/>
    <n v="3"/>
    <n v="1"/>
    <n v="80"/>
    <n v="0"/>
    <n v="21"/>
    <n v="2"/>
    <n v="4"/>
    <x v="23"/>
    <m/>
    <n v="7"/>
    <n v="4"/>
    <n v="9"/>
  </r>
  <r>
    <n v="21"/>
    <x v="1"/>
    <x v="0"/>
    <n v="984"/>
    <x v="1"/>
    <n v="1"/>
    <n v="1"/>
    <x v="4"/>
    <n v="1"/>
    <n v="1131"/>
    <n v="4"/>
    <x v="0"/>
    <n v="70"/>
    <n v="2"/>
    <n v="1"/>
    <x v="1"/>
    <n v="2"/>
    <x v="0"/>
    <n v="2070"/>
    <n v="25326"/>
    <n v="1"/>
    <s v="Y"/>
    <x v="0"/>
    <n v="11"/>
    <n v="3"/>
    <n v="3"/>
    <n v="80"/>
    <n v="0"/>
    <n v="2"/>
    <n v="6"/>
    <n v="4"/>
    <x v="4"/>
    <m/>
    <n v="2"/>
    <n v="2"/>
    <n v="2"/>
  </r>
  <r>
    <n v="39"/>
    <x v="1"/>
    <x v="2"/>
    <n v="439"/>
    <x v="1"/>
    <n v="9"/>
    <n v="3"/>
    <x v="0"/>
    <n v="1"/>
    <n v="1132"/>
    <n v="3"/>
    <x v="1"/>
    <n v="70"/>
    <n v="3"/>
    <n v="2"/>
    <x v="2"/>
    <n v="2"/>
    <x v="0"/>
    <n v="6782"/>
    <n v="8770"/>
    <n v="9"/>
    <s v="Y"/>
    <x v="1"/>
    <n v="15"/>
    <n v="3"/>
    <n v="3"/>
    <n v="80"/>
    <n v="0"/>
    <n v="9"/>
    <n v="2"/>
    <n v="2"/>
    <x v="8"/>
    <m/>
    <n v="4"/>
    <n v="0"/>
    <n v="3"/>
  </r>
  <r>
    <n v="36"/>
    <x v="1"/>
    <x v="2"/>
    <n v="217"/>
    <x v="1"/>
    <n v="18"/>
    <n v="4"/>
    <x v="0"/>
    <n v="1"/>
    <n v="1133"/>
    <n v="1"/>
    <x v="1"/>
    <n v="78"/>
    <n v="3"/>
    <n v="2"/>
    <x v="3"/>
    <n v="4"/>
    <x v="0"/>
    <n v="7779"/>
    <n v="23238"/>
    <n v="2"/>
    <s v="Y"/>
    <x v="1"/>
    <n v="20"/>
    <n v="4"/>
    <n v="1"/>
    <n v="80"/>
    <n v="0"/>
    <n v="18"/>
    <n v="0"/>
    <n v="3"/>
    <x v="19"/>
    <m/>
    <n v="9"/>
    <n v="0"/>
    <n v="9"/>
  </r>
  <r>
    <n v="31"/>
    <x v="1"/>
    <x v="1"/>
    <n v="793"/>
    <x v="0"/>
    <n v="20"/>
    <n v="3"/>
    <x v="0"/>
    <n v="1"/>
    <n v="1135"/>
    <n v="3"/>
    <x v="1"/>
    <n v="67"/>
    <n v="4"/>
    <n v="1"/>
    <x v="6"/>
    <n v="4"/>
    <x v="1"/>
    <n v="2791"/>
    <n v="21981"/>
    <n v="0"/>
    <s v="Y"/>
    <x v="1"/>
    <n v="12"/>
    <n v="3"/>
    <n v="1"/>
    <n v="80"/>
    <n v="1"/>
    <n v="3"/>
    <n v="4"/>
    <n v="3"/>
    <x v="4"/>
    <m/>
    <n v="2"/>
    <n v="2"/>
    <n v="2"/>
  </r>
  <r>
    <n v="28"/>
    <x v="1"/>
    <x v="0"/>
    <n v="1451"/>
    <x v="1"/>
    <n v="2"/>
    <n v="1"/>
    <x v="0"/>
    <n v="1"/>
    <n v="1136"/>
    <n v="1"/>
    <x v="1"/>
    <n v="67"/>
    <n v="2"/>
    <n v="1"/>
    <x v="1"/>
    <n v="2"/>
    <x v="1"/>
    <n v="3201"/>
    <n v="19911"/>
    <n v="0"/>
    <s v="Y"/>
    <x v="1"/>
    <n v="17"/>
    <n v="3"/>
    <n v="1"/>
    <n v="80"/>
    <n v="0"/>
    <n v="6"/>
    <n v="2"/>
    <n v="1"/>
    <x v="8"/>
    <m/>
    <n v="3"/>
    <n v="0"/>
    <n v="4"/>
  </r>
  <r>
    <n v="35"/>
    <x v="1"/>
    <x v="1"/>
    <n v="1182"/>
    <x v="0"/>
    <n v="11"/>
    <n v="2"/>
    <x v="3"/>
    <n v="1"/>
    <n v="1137"/>
    <n v="4"/>
    <x v="1"/>
    <n v="54"/>
    <n v="3"/>
    <n v="2"/>
    <x v="0"/>
    <n v="4"/>
    <x v="2"/>
    <n v="4968"/>
    <n v="18500"/>
    <n v="1"/>
    <s v="Y"/>
    <x v="1"/>
    <n v="11"/>
    <n v="3"/>
    <n v="4"/>
    <n v="80"/>
    <n v="1"/>
    <n v="5"/>
    <n v="3"/>
    <n v="3"/>
    <x v="8"/>
    <m/>
    <n v="2"/>
    <n v="0"/>
    <n v="2"/>
  </r>
  <r>
    <n v="49"/>
    <x v="1"/>
    <x v="0"/>
    <n v="174"/>
    <x v="0"/>
    <n v="8"/>
    <n v="4"/>
    <x v="4"/>
    <n v="1"/>
    <n v="1138"/>
    <n v="4"/>
    <x v="1"/>
    <n v="56"/>
    <n v="2"/>
    <n v="4"/>
    <x v="0"/>
    <n v="2"/>
    <x v="1"/>
    <n v="13120"/>
    <n v="11879"/>
    <n v="6"/>
    <s v="Y"/>
    <x v="1"/>
    <n v="17"/>
    <n v="3"/>
    <n v="2"/>
    <n v="80"/>
    <n v="1"/>
    <n v="22"/>
    <n v="3"/>
    <n v="3"/>
    <x v="7"/>
    <m/>
    <n v="8"/>
    <n v="2"/>
    <n v="3"/>
  </r>
  <r>
    <n v="34"/>
    <x v="1"/>
    <x v="1"/>
    <n v="1003"/>
    <x v="1"/>
    <n v="2"/>
    <n v="2"/>
    <x v="0"/>
    <n v="1"/>
    <n v="1140"/>
    <n v="4"/>
    <x v="1"/>
    <n v="95"/>
    <n v="3"/>
    <n v="2"/>
    <x v="3"/>
    <n v="3"/>
    <x v="0"/>
    <n v="4033"/>
    <n v="15834"/>
    <n v="2"/>
    <s v="Y"/>
    <x v="1"/>
    <n v="11"/>
    <n v="3"/>
    <n v="4"/>
    <n v="80"/>
    <n v="0"/>
    <n v="5"/>
    <n v="3"/>
    <n v="2"/>
    <x v="11"/>
    <m/>
    <n v="2"/>
    <n v="0"/>
    <n v="2"/>
  </r>
  <r>
    <n v="29"/>
    <x v="1"/>
    <x v="1"/>
    <n v="490"/>
    <x v="1"/>
    <n v="10"/>
    <n v="3"/>
    <x v="0"/>
    <n v="1"/>
    <n v="1143"/>
    <n v="4"/>
    <x v="0"/>
    <n v="61"/>
    <n v="3"/>
    <n v="1"/>
    <x v="1"/>
    <n v="2"/>
    <x v="2"/>
    <n v="3291"/>
    <n v="17940"/>
    <n v="0"/>
    <s v="Y"/>
    <x v="1"/>
    <n v="14"/>
    <n v="3"/>
    <n v="4"/>
    <n v="80"/>
    <n v="2"/>
    <n v="8"/>
    <n v="2"/>
    <n v="2"/>
    <x v="5"/>
    <m/>
    <n v="5"/>
    <n v="1"/>
    <n v="1"/>
  </r>
  <r>
    <n v="42"/>
    <x v="1"/>
    <x v="0"/>
    <n v="188"/>
    <x v="1"/>
    <n v="29"/>
    <n v="3"/>
    <x v="2"/>
    <n v="1"/>
    <n v="1148"/>
    <n v="2"/>
    <x v="1"/>
    <n v="56"/>
    <n v="1"/>
    <n v="2"/>
    <x v="2"/>
    <n v="4"/>
    <x v="0"/>
    <n v="4272"/>
    <n v="9558"/>
    <n v="4"/>
    <s v="Y"/>
    <x v="1"/>
    <n v="19"/>
    <n v="3"/>
    <n v="1"/>
    <n v="80"/>
    <n v="0"/>
    <n v="16"/>
    <n v="3"/>
    <n v="3"/>
    <x v="6"/>
    <m/>
    <n v="0"/>
    <n v="0"/>
    <n v="0"/>
  </r>
  <r>
    <n v="29"/>
    <x v="1"/>
    <x v="0"/>
    <n v="718"/>
    <x v="1"/>
    <n v="8"/>
    <n v="1"/>
    <x v="2"/>
    <n v="1"/>
    <n v="1150"/>
    <n v="2"/>
    <x v="1"/>
    <n v="79"/>
    <n v="2"/>
    <n v="2"/>
    <x v="3"/>
    <n v="4"/>
    <x v="1"/>
    <n v="5056"/>
    <n v="17689"/>
    <n v="1"/>
    <s v="Y"/>
    <x v="0"/>
    <n v="15"/>
    <n v="3"/>
    <n v="3"/>
    <n v="80"/>
    <n v="1"/>
    <n v="10"/>
    <n v="2"/>
    <n v="2"/>
    <x v="1"/>
    <m/>
    <n v="7"/>
    <n v="1"/>
    <n v="2"/>
  </r>
  <r>
    <n v="38"/>
    <x v="1"/>
    <x v="0"/>
    <n v="433"/>
    <x v="2"/>
    <n v="1"/>
    <n v="3"/>
    <x v="5"/>
    <n v="1"/>
    <n v="1152"/>
    <n v="3"/>
    <x v="1"/>
    <n v="37"/>
    <n v="4"/>
    <n v="1"/>
    <x v="8"/>
    <n v="3"/>
    <x v="1"/>
    <n v="2844"/>
    <n v="6004"/>
    <n v="1"/>
    <s v="Y"/>
    <x v="1"/>
    <n v="13"/>
    <n v="3"/>
    <n v="4"/>
    <n v="80"/>
    <n v="1"/>
    <n v="7"/>
    <n v="2"/>
    <n v="4"/>
    <x v="5"/>
    <m/>
    <n v="6"/>
    <n v="5"/>
    <n v="0"/>
  </r>
  <r>
    <n v="28"/>
    <x v="1"/>
    <x v="1"/>
    <n v="773"/>
    <x v="1"/>
    <n v="6"/>
    <n v="3"/>
    <x v="0"/>
    <n v="1"/>
    <n v="1154"/>
    <n v="3"/>
    <x v="1"/>
    <n v="39"/>
    <n v="2"/>
    <n v="1"/>
    <x v="1"/>
    <n v="3"/>
    <x v="2"/>
    <n v="2703"/>
    <n v="22088"/>
    <n v="1"/>
    <s v="Y"/>
    <x v="0"/>
    <n v="14"/>
    <n v="3"/>
    <n v="4"/>
    <n v="80"/>
    <n v="1"/>
    <n v="3"/>
    <n v="2"/>
    <n v="3"/>
    <x v="11"/>
    <m/>
    <n v="1"/>
    <n v="0"/>
    <n v="2"/>
  </r>
  <r>
    <n v="18"/>
    <x v="0"/>
    <x v="2"/>
    <n v="247"/>
    <x v="1"/>
    <n v="8"/>
    <n v="1"/>
    <x v="2"/>
    <n v="1"/>
    <n v="1156"/>
    <n v="3"/>
    <x v="1"/>
    <n v="80"/>
    <n v="3"/>
    <n v="1"/>
    <x v="2"/>
    <n v="3"/>
    <x v="0"/>
    <n v="1904"/>
    <n v="13556"/>
    <n v="1"/>
    <s v="Y"/>
    <x v="1"/>
    <n v="12"/>
    <n v="3"/>
    <n v="4"/>
    <n v="80"/>
    <n v="0"/>
    <n v="0"/>
    <n v="0"/>
    <n v="3"/>
    <x v="2"/>
    <m/>
    <n v="0"/>
    <n v="0"/>
    <n v="0"/>
  </r>
  <r>
    <n v="33"/>
    <x v="0"/>
    <x v="0"/>
    <n v="603"/>
    <x v="0"/>
    <n v="9"/>
    <n v="4"/>
    <x v="3"/>
    <n v="1"/>
    <n v="1157"/>
    <n v="1"/>
    <x v="0"/>
    <n v="77"/>
    <n v="3"/>
    <n v="2"/>
    <x v="0"/>
    <n v="1"/>
    <x v="0"/>
    <n v="8224"/>
    <n v="18385"/>
    <n v="0"/>
    <s v="Y"/>
    <x v="0"/>
    <n v="17"/>
    <n v="3"/>
    <n v="1"/>
    <n v="80"/>
    <n v="0"/>
    <n v="6"/>
    <n v="3"/>
    <n v="3"/>
    <x v="8"/>
    <m/>
    <n v="2"/>
    <n v="0"/>
    <n v="3"/>
  </r>
  <r>
    <n v="41"/>
    <x v="1"/>
    <x v="0"/>
    <n v="167"/>
    <x v="1"/>
    <n v="12"/>
    <n v="4"/>
    <x v="0"/>
    <n v="1"/>
    <n v="1158"/>
    <n v="2"/>
    <x v="1"/>
    <n v="46"/>
    <n v="3"/>
    <n v="1"/>
    <x v="2"/>
    <n v="4"/>
    <x v="1"/>
    <n v="4766"/>
    <n v="9051"/>
    <n v="3"/>
    <s v="Y"/>
    <x v="0"/>
    <n v="11"/>
    <n v="3"/>
    <n v="1"/>
    <n v="80"/>
    <n v="1"/>
    <n v="6"/>
    <n v="4"/>
    <n v="3"/>
    <x v="6"/>
    <m/>
    <n v="0"/>
    <n v="0"/>
    <n v="0"/>
  </r>
  <r>
    <n v="31"/>
    <x v="0"/>
    <x v="1"/>
    <n v="874"/>
    <x v="1"/>
    <n v="15"/>
    <n v="3"/>
    <x v="2"/>
    <n v="1"/>
    <n v="1160"/>
    <n v="3"/>
    <x v="1"/>
    <n v="72"/>
    <n v="3"/>
    <n v="1"/>
    <x v="2"/>
    <n v="3"/>
    <x v="1"/>
    <n v="2610"/>
    <n v="6233"/>
    <n v="1"/>
    <s v="Y"/>
    <x v="1"/>
    <n v="12"/>
    <n v="3"/>
    <n v="3"/>
    <n v="80"/>
    <n v="1"/>
    <n v="2"/>
    <n v="5"/>
    <n v="2"/>
    <x v="4"/>
    <m/>
    <n v="2"/>
    <n v="2"/>
    <n v="2"/>
  </r>
  <r>
    <n v="37"/>
    <x v="1"/>
    <x v="0"/>
    <n v="367"/>
    <x v="1"/>
    <n v="25"/>
    <n v="2"/>
    <x v="2"/>
    <n v="1"/>
    <n v="1161"/>
    <n v="3"/>
    <x v="0"/>
    <n v="52"/>
    <n v="2"/>
    <n v="2"/>
    <x v="4"/>
    <n v="4"/>
    <x v="2"/>
    <n v="5731"/>
    <n v="17171"/>
    <n v="7"/>
    <s v="Y"/>
    <x v="1"/>
    <n v="13"/>
    <n v="3"/>
    <n v="3"/>
    <n v="80"/>
    <n v="2"/>
    <n v="9"/>
    <n v="2"/>
    <n v="3"/>
    <x v="0"/>
    <m/>
    <n v="2"/>
    <n v="1"/>
    <n v="3"/>
  </r>
  <r>
    <n v="27"/>
    <x v="1"/>
    <x v="0"/>
    <n v="199"/>
    <x v="1"/>
    <n v="6"/>
    <n v="3"/>
    <x v="0"/>
    <n v="1"/>
    <n v="1162"/>
    <n v="4"/>
    <x v="1"/>
    <n v="55"/>
    <n v="2"/>
    <n v="1"/>
    <x v="1"/>
    <n v="3"/>
    <x v="1"/>
    <n v="2539"/>
    <n v="7950"/>
    <n v="1"/>
    <s v="Y"/>
    <x v="1"/>
    <n v="13"/>
    <n v="3"/>
    <n v="3"/>
    <n v="80"/>
    <n v="1"/>
    <n v="4"/>
    <n v="0"/>
    <n v="3"/>
    <x v="9"/>
    <m/>
    <n v="2"/>
    <n v="2"/>
    <n v="2"/>
  </r>
  <r>
    <n v="34"/>
    <x v="1"/>
    <x v="0"/>
    <n v="1400"/>
    <x v="0"/>
    <n v="9"/>
    <n v="1"/>
    <x v="0"/>
    <n v="1"/>
    <n v="1163"/>
    <n v="2"/>
    <x v="0"/>
    <n v="70"/>
    <n v="3"/>
    <n v="2"/>
    <x v="0"/>
    <n v="3"/>
    <x v="1"/>
    <n v="5714"/>
    <n v="5829"/>
    <n v="1"/>
    <s v="Y"/>
    <x v="1"/>
    <n v="20"/>
    <n v="4"/>
    <n v="1"/>
    <n v="80"/>
    <n v="0"/>
    <n v="6"/>
    <n v="3"/>
    <n v="2"/>
    <x v="0"/>
    <m/>
    <n v="5"/>
    <n v="1"/>
    <n v="3"/>
  </r>
  <r>
    <n v="35"/>
    <x v="1"/>
    <x v="0"/>
    <n v="528"/>
    <x v="2"/>
    <n v="8"/>
    <n v="4"/>
    <x v="4"/>
    <n v="1"/>
    <n v="1164"/>
    <n v="3"/>
    <x v="1"/>
    <n v="100"/>
    <n v="3"/>
    <n v="1"/>
    <x v="8"/>
    <n v="3"/>
    <x v="0"/>
    <n v="4323"/>
    <n v="7108"/>
    <n v="1"/>
    <s v="Y"/>
    <x v="1"/>
    <n v="17"/>
    <n v="3"/>
    <n v="2"/>
    <n v="80"/>
    <n v="0"/>
    <n v="6"/>
    <n v="2"/>
    <n v="1"/>
    <x v="8"/>
    <m/>
    <n v="4"/>
    <n v="1"/>
    <n v="4"/>
  </r>
  <r>
    <n v="29"/>
    <x v="0"/>
    <x v="0"/>
    <n v="408"/>
    <x v="0"/>
    <n v="23"/>
    <n v="1"/>
    <x v="0"/>
    <n v="1"/>
    <n v="1165"/>
    <n v="4"/>
    <x v="0"/>
    <n v="45"/>
    <n v="2"/>
    <n v="3"/>
    <x v="0"/>
    <n v="1"/>
    <x v="1"/>
    <n v="7336"/>
    <n v="11162"/>
    <n v="1"/>
    <s v="Y"/>
    <x v="1"/>
    <n v="13"/>
    <n v="3"/>
    <n v="1"/>
    <n v="80"/>
    <n v="1"/>
    <n v="11"/>
    <n v="3"/>
    <n v="1"/>
    <x v="19"/>
    <m/>
    <n v="8"/>
    <n v="3"/>
    <n v="10"/>
  </r>
  <r>
    <n v="40"/>
    <x v="1"/>
    <x v="1"/>
    <n v="593"/>
    <x v="1"/>
    <n v="9"/>
    <n v="4"/>
    <x v="2"/>
    <n v="1"/>
    <n v="1166"/>
    <n v="2"/>
    <x v="0"/>
    <n v="88"/>
    <n v="3"/>
    <n v="3"/>
    <x v="7"/>
    <n v="3"/>
    <x v="0"/>
    <n v="13499"/>
    <n v="13782"/>
    <n v="9"/>
    <s v="Y"/>
    <x v="1"/>
    <n v="17"/>
    <n v="3"/>
    <n v="3"/>
    <n v="80"/>
    <n v="0"/>
    <n v="20"/>
    <n v="3"/>
    <n v="2"/>
    <x v="29"/>
    <m/>
    <n v="7"/>
    <n v="2"/>
    <n v="13"/>
  </r>
  <r>
    <n v="42"/>
    <x v="0"/>
    <x v="1"/>
    <n v="481"/>
    <x v="0"/>
    <n v="12"/>
    <n v="3"/>
    <x v="0"/>
    <n v="1"/>
    <n v="1167"/>
    <n v="3"/>
    <x v="1"/>
    <n v="44"/>
    <n v="3"/>
    <n v="4"/>
    <x v="0"/>
    <n v="1"/>
    <x v="0"/>
    <n v="13758"/>
    <n v="2447"/>
    <n v="0"/>
    <s v="Y"/>
    <x v="0"/>
    <n v="12"/>
    <n v="3"/>
    <n v="2"/>
    <n v="80"/>
    <n v="0"/>
    <n v="22"/>
    <n v="2"/>
    <n v="2"/>
    <x v="17"/>
    <m/>
    <n v="9"/>
    <n v="13"/>
    <n v="14"/>
  </r>
  <r>
    <n v="42"/>
    <x v="1"/>
    <x v="0"/>
    <n v="647"/>
    <x v="0"/>
    <n v="4"/>
    <n v="4"/>
    <x v="3"/>
    <n v="1"/>
    <n v="1171"/>
    <n v="2"/>
    <x v="1"/>
    <n v="45"/>
    <n v="3"/>
    <n v="2"/>
    <x v="0"/>
    <n v="1"/>
    <x v="0"/>
    <n v="5155"/>
    <n v="2253"/>
    <n v="7"/>
    <s v="Y"/>
    <x v="1"/>
    <n v="13"/>
    <n v="3"/>
    <n v="4"/>
    <n v="80"/>
    <n v="0"/>
    <n v="9"/>
    <n v="3"/>
    <n v="4"/>
    <x v="0"/>
    <m/>
    <n v="4"/>
    <n v="1"/>
    <n v="5"/>
  </r>
  <r>
    <n v="35"/>
    <x v="1"/>
    <x v="0"/>
    <n v="982"/>
    <x v="1"/>
    <n v="1"/>
    <n v="4"/>
    <x v="2"/>
    <n v="1"/>
    <n v="1172"/>
    <n v="4"/>
    <x v="1"/>
    <n v="58"/>
    <n v="2"/>
    <n v="1"/>
    <x v="2"/>
    <n v="3"/>
    <x v="1"/>
    <n v="2258"/>
    <n v="16340"/>
    <n v="6"/>
    <s v="Y"/>
    <x v="1"/>
    <n v="12"/>
    <n v="3"/>
    <n v="2"/>
    <n v="80"/>
    <n v="1"/>
    <n v="10"/>
    <n v="2"/>
    <n v="3"/>
    <x v="3"/>
    <m/>
    <n v="0"/>
    <n v="1"/>
    <n v="7"/>
  </r>
  <r>
    <n v="24"/>
    <x v="1"/>
    <x v="0"/>
    <n v="477"/>
    <x v="1"/>
    <n v="24"/>
    <n v="3"/>
    <x v="2"/>
    <n v="1"/>
    <n v="1173"/>
    <n v="4"/>
    <x v="1"/>
    <n v="49"/>
    <n v="3"/>
    <n v="1"/>
    <x v="2"/>
    <n v="2"/>
    <x v="0"/>
    <n v="3597"/>
    <n v="6409"/>
    <n v="8"/>
    <s v="Y"/>
    <x v="1"/>
    <n v="22"/>
    <n v="4"/>
    <n v="4"/>
    <n v="80"/>
    <n v="0"/>
    <n v="6"/>
    <n v="2"/>
    <n v="3"/>
    <x v="9"/>
    <m/>
    <n v="3"/>
    <n v="1"/>
    <n v="2"/>
  </r>
  <r>
    <n v="28"/>
    <x v="0"/>
    <x v="0"/>
    <n v="1485"/>
    <x v="1"/>
    <n v="12"/>
    <n v="1"/>
    <x v="0"/>
    <n v="1"/>
    <n v="1175"/>
    <n v="3"/>
    <x v="0"/>
    <n v="79"/>
    <n v="3"/>
    <n v="1"/>
    <x v="2"/>
    <n v="4"/>
    <x v="1"/>
    <n v="2515"/>
    <n v="22955"/>
    <n v="1"/>
    <s v="Y"/>
    <x v="0"/>
    <n v="11"/>
    <n v="3"/>
    <n v="4"/>
    <n v="80"/>
    <n v="0"/>
    <n v="1"/>
    <n v="4"/>
    <n v="2"/>
    <x v="6"/>
    <m/>
    <n v="1"/>
    <n v="0"/>
    <n v="0"/>
  </r>
  <r>
    <n v="26"/>
    <x v="1"/>
    <x v="0"/>
    <n v="1384"/>
    <x v="1"/>
    <n v="3"/>
    <n v="4"/>
    <x v="2"/>
    <n v="1"/>
    <n v="1177"/>
    <n v="1"/>
    <x v="1"/>
    <n v="82"/>
    <n v="4"/>
    <n v="1"/>
    <x v="2"/>
    <n v="4"/>
    <x v="1"/>
    <n v="4420"/>
    <n v="13421"/>
    <n v="1"/>
    <s v="Y"/>
    <x v="1"/>
    <n v="22"/>
    <n v="4"/>
    <n v="2"/>
    <n v="80"/>
    <n v="1"/>
    <n v="8"/>
    <n v="2"/>
    <n v="3"/>
    <x v="3"/>
    <m/>
    <n v="7"/>
    <n v="0"/>
    <n v="7"/>
  </r>
  <r>
    <n v="30"/>
    <x v="1"/>
    <x v="0"/>
    <n v="852"/>
    <x v="0"/>
    <n v="10"/>
    <n v="3"/>
    <x v="3"/>
    <n v="1"/>
    <n v="1179"/>
    <n v="3"/>
    <x v="1"/>
    <n v="72"/>
    <n v="2"/>
    <n v="2"/>
    <x v="0"/>
    <n v="3"/>
    <x v="1"/>
    <n v="6578"/>
    <n v="2706"/>
    <n v="1"/>
    <s v="Y"/>
    <x v="1"/>
    <n v="18"/>
    <n v="3"/>
    <n v="1"/>
    <n v="80"/>
    <n v="1"/>
    <n v="10"/>
    <n v="3"/>
    <n v="3"/>
    <x v="1"/>
    <m/>
    <n v="3"/>
    <n v="1"/>
    <n v="4"/>
  </r>
  <r>
    <n v="40"/>
    <x v="1"/>
    <x v="1"/>
    <n v="902"/>
    <x v="1"/>
    <n v="26"/>
    <n v="2"/>
    <x v="2"/>
    <n v="1"/>
    <n v="1180"/>
    <n v="3"/>
    <x v="0"/>
    <n v="92"/>
    <n v="2"/>
    <n v="2"/>
    <x v="1"/>
    <n v="4"/>
    <x v="1"/>
    <n v="4422"/>
    <n v="21203"/>
    <n v="3"/>
    <s v="Y"/>
    <x v="0"/>
    <n v="13"/>
    <n v="3"/>
    <n v="4"/>
    <n v="80"/>
    <n v="1"/>
    <n v="16"/>
    <n v="3"/>
    <n v="1"/>
    <x v="6"/>
    <m/>
    <n v="1"/>
    <n v="0"/>
    <n v="0"/>
  </r>
  <r>
    <n v="35"/>
    <x v="1"/>
    <x v="0"/>
    <n v="819"/>
    <x v="1"/>
    <n v="2"/>
    <n v="3"/>
    <x v="0"/>
    <n v="1"/>
    <n v="1182"/>
    <n v="3"/>
    <x v="1"/>
    <n v="44"/>
    <n v="2"/>
    <n v="3"/>
    <x v="3"/>
    <n v="2"/>
    <x v="2"/>
    <n v="10274"/>
    <n v="19588"/>
    <n v="2"/>
    <s v="Y"/>
    <x v="1"/>
    <n v="18"/>
    <n v="3"/>
    <n v="2"/>
    <n v="80"/>
    <n v="1"/>
    <n v="15"/>
    <n v="2"/>
    <n v="4"/>
    <x v="5"/>
    <m/>
    <n v="7"/>
    <n v="6"/>
    <n v="4"/>
  </r>
  <r>
    <n v="34"/>
    <x v="1"/>
    <x v="1"/>
    <n v="669"/>
    <x v="1"/>
    <n v="1"/>
    <n v="3"/>
    <x v="2"/>
    <n v="1"/>
    <n v="1184"/>
    <n v="4"/>
    <x v="1"/>
    <n v="97"/>
    <n v="2"/>
    <n v="2"/>
    <x v="4"/>
    <n v="1"/>
    <x v="0"/>
    <n v="5343"/>
    <n v="25755"/>
    <n v="0"/>
    <s v="Y"/>
    <x v="1"/>
    <n v="20"/>
    <n v="4"/>
    <n v="3"/>
    <n v="80"/>
    <n v="0"/>
    <n v="14"/>
    <n v="3"/>
    <n v="3"/>
    <x v="20"/>
    <m/>
    <n v="9"/>
    <n v="4"/>
    <n v="9"/>
  </r>
  <r>
    <n v="35"/>
    <x v="1"/>
    <x v="1"/>
    <n v="636"/>
    <x v="1"/>
    <n v="4"/>
    <n v="4"/>
    <x v="1"/>
    <n v="1"/>
    <n v="1185"/>
    <n v="4"/>
    <x v="1"/>
    <n v="47"/>
    <n v="2"/>
    <n v="1"/>
    <x v="2"/>
    <n v="4"/>
    <x v="1"/>
    <n v="2376"/>
    <n v="26537"/>
    <n v="1"/>
    <s v="Y"/>
    <x v="1"/>
    <n v="13"/>
    <n v="3"/>
    <n v="2"/>
    <n v="80"/>
    <n v="1"/>
    <n v="2"/>
    <n v="2"/>
    <n v="4"/>
    <x v="4"/>
    <m/>
    <n v="2"/>
    <n v="2"/>
    <n v="2"/>
  </r>
  <r>
    <n v="43"/>
    <x v="0"/>
    <x v="0"/>
    <n v="1372"/>
    <x v="0"/>
    <n v="9"/>
    <n v="3"/>
    <x v="3"/>
    <n v="1"/>
    <n v="1188"/>
    <n v="1"/>
    <x v="0"/>
    <n v="85"/>
    <n v="1"/>
    <n v="2"/>
    <x v="0"/>
    <n v="3"/>
    <x v="0"/>
    <n v="5346"/>
    <n v="9489"/>
    <n v="8"/>
    <s v="Y"/>
    <x v="1"/>
    <n v="13"/>
    <n v="3"/>
    <n v="2"/>
    <n v="80"/>
    <n v="0"/>
    <n v="7"/>
    <n v="2"/>
    <n v="2"/>
    <x v="9"/>
    <m/>
    <n v="3"/>
    <n v="1"/>
    <n v="3"/>
  </r>
  <r>
    <n v="32"/>
    <x v="1"/>
    <x v="2"/>
    <n v="862"/>
    <x v="0"/>
    <n v="2"/>
    <n v="1"/>
    <x v="0"/>
    <n v="1"/>
    <n v="1190"/>
    <n v="3"/>
    <x v="0"/>
    <n v="76"/>
    <n v="3"/>
    <n v="1"/>
    <x v="6"/>
    <n v="1"/>
    <x v="2"/>
    <n v="2827"/>
    <n v="14947"/>
    <n v="1"/>
    <s v="Y"/>
    <x v="1"/>
    <n v="12"/>
    <n v="3"/>
    <n v="3"/>
    <n v="80"/>
    <n v="3"/>
    <n v="1"/>
    <n v="3"/>
    <n v="3"/>
    <x v="6"/>
    <m/>
    <n v="0"/>
    <n v="0"/>
    <n v="0"/>
  </r>
  <r>
    <n v="56"/>
    <x v="1"/>
    <x v="0"/>
    <n v="718"/>
    <x v="1"/>
    <n v="4"/>
    <n v="4"/>
    <x v="4"/>
    <n v="1"/>
    <n v="1191"/>
    <n v="4"/>
    <x v="0"/>
    <n v="92"/>
    <n v="3"/>
    <n v="5"/>
    <x v="5"/>
    <n v="1"/>
    <x v="2"/>
    <n v="19943"/>
    <n v="18575"/>
    <n v="4"/>
    <s v="Y"/>
    <x v="1"/>
    <n v="13"/>
    <n v="3"/>
    <n v="4"/>
    <n v="80"/>
    <n v="1"/>
    <n v="28"/>
    <n v="2"/>
    <n v="3"/>
    <x v="8"/>
    <m/>
    <n v="2"/>
    <n v="4"/>
    <n v="2"/>
  </r>
  <r>
    <n v="29"/>
    <x v="1"/>
    <x v="0"/>
    <n v="1401"/>
    <x v="1"/>
    <n v="6"/>
    <n v="1"/>
    <x v="2"/>
    <n v="1"/>
    <n v="1192"/>
    <n v="2"/>
    <x v="0"/>
    <n v="54"/>
    <n v="3"/>
    <n v="1"/>
    <x v="2"/>
    <n v="4"/>
    <x v="1"/>
    <n v="3131"/>
    <n v="26342"/>
    <n v="1"/>
    <s v="Y"/>
    <x v="1"/>
    <n v="13"/>
    <n v="3"/>
    <n v="1"/>
    <n v="80"/>
    <n v="1"/>
    <n v="10"/>
    <n v="5"/>
    <n v="3"/>
    <x v="1"/>
    <m/>
    <n v="8"/>
    <n v="0"/>
    <n v="8"/>
  </r>
  <r>
    <n v="19"/>
    <x v="1"/>
    <x v="0"/>
    <n v="645"/>
    <x v="1"/>
    <n v="9"/>
    <n v="2"/>
    <x v="0"/>
    <n v="1"/>
    <n v="1193"/>
    <n v="3"/>
    <x v="1"/>
    <n v="54"/>
    <n v="3"/>
    <n v="1"/>
    <x v="1"/>
    <n v="1"/>
    <x v="0"/>
    <n v="2552"/>
    <n v="7172"/>
    <n v="1"/>
    <s v="Y"/>
    <x v="1"/>
    <n v="25"/>
    <n v="4"/>
    <n v="3"/>
    <n v="80"/>
    <n v="0"/>
    <n v="1"/>
    <n v="4"/>
    <n v="3"/>
    <x v="6"/>
    <m/>
    <n v="1"/>
    <n v="0"/>
    <n v="0"/>
  </r>
  <r>
    <n v="45"/>
    <x v="1"/>
    <x v="0"/>
    <n v="1457"/>
    <x v="1"/>
    <n v="7"/>
    <n v="3"/>
    <x v="2"/>
    <n v="1"/>
    <n v="1195"/>
    <n v="1"/>
    <x v="0"/>
    <n v="83"/>
    <n v="3"/>
    <n v="1"/>
    <x v="1"/>
    <n v="3"/>
    <x v="1"/>
    <n v="4477"/>
    <n v="20100"/>
    <n v="4"/>
    <s v="Y"/>
    <x v="0"/>
    <n v="19"/>
    <n v="3"/>
    <n v="3"/>
    <n v="80"/>
    <n v="1"/>
    <n v="7"/>
    <n v="2"/>
    <n v="2"/>
    <x v="11"/>
    <m/>
    <n v="2"/>
    <n v="0"/>
    <n v="2"/>
  </r>
  <r>
    <n v="37"/>
    <x v="1"/>
    <x v="0"/>
    <n v="977"/>
    <x v="1"/>
    <n v="1"/>
    <n v="3"/>
    <x v="0"/>
    <n v="1"/>
    <n v="1196"/>
    <n v="4"/>
    <x v="0"/>
    <n v="56"/>
    <n v="2"/>
    <n v="2"/>
    <x v="3"/>
    <n v="4"/>
    <x v="1"/>
    <n v="6474"/>
    <n v="9961"/>
    <n v="1"/>
    <s v="Y"/>
    <x v="1"/>
    <n v="13"/>
    <n v="3"/>
    <n v="2"/>
    <n v="80"/>
    <n v="1"/>
    <n v="14"/>
    <n v="2"/>
    <n v="2"/>
    <x v="13"/>
    <m/>
    <n v="8"/>
    <n v="3"/>
    <n v="11"/>
  </r>
  <r>
    <n v="20"/>
    <x v="1"/>
    <x v="0"/>
    <n v="805"/>
    <x v="1"/>
    <n v="3"/>
    <n v="3"/>
    <x v="0"/>
    <n v="1"/>
    <n v="1198"/>
    <n v="1"/>
    <x v="1"/>
    <n v="87"/>
    <n v="2"/>
    <n v="1"/>
    <x v="2"/>
    <n v="3"/>
    <x v="0"/>
    <n v="3033"/>
    <n v="12828"/>
    <n v="1"/>
    <s v="Y"/>
    <x v="1"/>
    <n v="12"/>
    <n v="3"/>
    <n v="1"/>
    <n v="80"/>
    <n v="0"/>
    <n v="2"/>
    <n v="2"/>
    <n v="2"/>
    <x v="4"/>
    <m/>
    <n v="2"/>
    <n v="1"/>
    <n v="2"/>
  </r>
  <r>
    <n v="44"/>
    <x v="0"/>
    <x v="0"/>
    <n v="1097"/>
    <x v="1"/>
    <n v="10"/>
    <n v="4"/>
    <x v="0"/>
    <n v="1"/>
    <n v="1200"/>
    <n v="3"/>
    <x v="1"/>
    <n v="96"/>
    <n v="3"/>
    <n v="1"/>
    <x v="1"/>
    <n v="3"/>
    <x v="0"/>
    <n v="2936"/>
    <n v="10826"/>
    <n v="1"/>
    <s v="Y"/>
    <x v="0"/>
    <n v="11"/>
    <n v="3"/>
    <n v="3"/>
    <n v="80"/>
    <n v="0"/>
    <n v="6"/>
    <n v="4"/>
    <n v="3"/>
    <x v="0"/>
    <m/>
    <n v="4"/>
    <n v="0"/>
    <n v="2"/>
  </r>
  <r>
    <n v="53"/>
    <x v="1"/>
    <x v="0"/>
    <n v="1223"/>
    <x v="1"/>
    <n v="7"/>
    <n v="2"/>
    <x v="2"/>
    <n v="1"/>
    <n v="1201"/>
    <n v="4"/>
    <x v="0"/>
    <n v="50"/>
    <n v="3"/>
    <n v="5"/>
    <x v="5"/>
    <n v="3"/>
    <x v="2"/>
    <n v="18606"/>
    <n v="18640"/>
    <n v="3"/>
    <s v="Y"/>
    <x v="1"/>
    <n v="18"/>
    <n v="3"/>
    <n v="2"/>
    <n v="80"/>
    <n v="1"/>
    <n v="26"/>
    <n v="6"/>
    <n v="3"/>
    <x v="5"/>
    <m/>
    <n v="7"/>
    <n v="4"/>
    <n v="7"/>
  </r>
  <r>
    <n v="29"/>
    <x v="1"/>
    <x v="0"/>
    <n v="942"/>
    <x v="1"/>
    <n v="15"/>
    <n v="1"/>
    <x v="0"/>
    <n v="1"/>
    <n v="1202"/>
    <n v="2"/>
    <x v="0"/>
    <n v="69"/>
    <n v="1"/>
    <n v="1"/>
    <x v="1"/>
    <n v="4"/>
    <x v="1"/>
    <n v="2168"/>
    <n v="26933"/>
    <n v="0"/>
    <s v="Y"/>
    <x v="0"/>
    <n v="18"/>
    <n v="3"/>
    <n v="1"/>
    <n v="80"/>
    <n v="1"/>
    <n v="6"/>
    <n v="2"/>
    <n v="2"/>
    <x v="8"/>
    <m/>
    <n v="4"/>
    <n v="1"/>
    <n v="3"/>
  </r>
  <r>
    <n v="22"/>
    <x v="0"/>
    <x v="1"/>
    <n v="1256"/>
    <x v="1"/>
    <n v="3"/>
    <n v="4"/>
    <x v="0"/>
    <n v="1"/>
    <n v="1203"/>
    <n v="3"/>
    <x v="1"/>
    <n v="48"/>
    <n v="2"/>
    <n v="1"/>
    <x v="1"/>
    <n v="4"/>
    <x v="1"/>
    <n v="2853"/>
    <n v="4223"/>
    <n v="0"/>
    <s v="Y"/>
    <x v="0"/>
    <n v="11"/>
    <n v="3"/>
    <n v="2"/>
    <n v="80"/>
    <n v="1"/>
    <n v="1"/>
    <n v="5"/>
    <n v="3"/>
    <x v="2"/>
    <m/>
    <n v="0"/>
    <n v="0"/>
    <n v="0"/>
  </r>
  <r>
    <n v="46"/>
    <x v="1"/>
    <x v="0"/>
    <n v="1402"/>
    <x v="0"/>
    <n v="2"/>
    <n v="3"/>
    <x v="3"/>
    <n v="1"/>
    <n v="1204"/>
    <n v="3"/>
    <x v="0"/>
    <n v="69"/>
    <n v="3"/>
    <n v="4"/>
    <x v="5"/>
    <n v="1"/>
    <x v="1"/>
    <n v="17048"/>
    <n v="24097"/>
    <n v="8"/>
    <s v="Y"/>
    <x v="1"/>
    <n v="23"/>
    <n v="4"/>
    <n v="1"/>
    <n v="80"/>
    <n v="0"/>
    <n v="28"/>
    <n v="2"/>
    <n v="3"/>
    <x v="34"/>
    <m/>
    <n v="15"/>
    <n v="15"/>
    <n v="9"/>
  </r>
  <r>
    <n v="44"/>
    <x v="1"/>
    <x v="2"/>
    <n v="111"/>
    <x v="1"/>
    <n v="17"/>
    <n v="3"/>
    <x v="0"/>
    <n v="1"/>
    <n v="1206"/>
    <n v="4"/>
    <x v="1"/>
    <n v="74"/>
    <n v="1"/>
    <n v="1"/>
    <x v="1"/>
    <n v="3"/>
    <x v="0"/>
    <n v="2290"/>
    <n v="4279"/>
    <n v="2"/>
    <s v="Y"/>
    <x v="1"/>
    <n v="13"/>
    <n v="3"/>
    <n v="4"/>
    <n v="80"/>
    <n v="0"/>
    <n v="6"/>
    <n v="3"/>
    <n v="3"/>
    <x v="2"/>
    <m/>
    <n v="0"/>
    <n v="0"/>
    <n v="0"/>
  </r>
  <r>
    <n v="33"/>
    <x v="1"/>
    <x v="0"/>
    <n v="147"/>
    <x v="2"/>
    <n v="2"/>
    <n v="3"/>
    <x v="5"/>
    <n v="1"/>
    <n v="1207"/>
    <n v="2"/>
    <x v="1"/>
    <n v="99"/>
    <n v="3"/>
    <n v="1"/>
    <x v="8"/>
    <n v="3"/>
    <x v="1"/>
    <n v="3600"/>
    <n v="8429"/>
    <n v="1"/>
    <s v="Y"/>
    <x v="1"/>
    <n v="13"/>
    <n v="3"/>
    <n v="4"/>
    <n v="80"/>
    <n v="1"/>
    <n v="5"/>
    <n v="2"/>
    <n v="3"/>
    <x v="8"/>
    <m/>
    <n v="4"/>
    <n v="1"/>
    <n v="4"/>
  </r>
  <r>
    <n v="41"/>
    <x v="0"/>
    <x v="2"/>
    <n v="906"/>
    <x v="1"/>
    <n v="5"/>
    <n v="2"/>
    <x v="0"/>
    <n v="1"/>
    <n v="1210"/>
    <n v="1"/>
    <x v="1"/>
    <n v="95"/>
    <n v="2"/>
    <n v="1"/>
    <x v="1"/>
    <n v="1"/>
    <x v="2"/>
    <n v="2107"/>
    <n v="20293"/>
    <n v="6"/>
    <s v="Y"/>
    <x v="1"/>
    <n v="17"/>
    <n v="3"/>
    <n v="1"/>
    <n v="80"/>
    <n v="1"/>
    <n v="5"/>
    <n v="2"/>
    <n v="1"/>
    <x v="6"/>
    <m/>
    <n v="0"/>
    <n v="0"/>
    <n v="0"/>
  </r>
  <r>
    <n v="30"/>
    <x v="1"/>
    <x v="0"/>
    <n v="1329"/>
    <x v="0"/>
    <n v="29"/>
    <n v="4"/>
    <x v="0"/>
    <n v="1"/>
    <n v="1211"/>
    <n v="3"/>
    <x v="1"/>
    <n v="61"/>
    <n v="3"/>
    <n v="2"/>
    <x v="0"/>
    <n v="1"/>
    <x v="2"/>
    <n v="4115"/>
    <n v="13192"/>
    <n v="8"/>
    <s v="Y"/>
    <x v="1"/>
    <n v="19"/>
    <n v="3"/>
    <n v="3"/>
    <n v="80"/>
    <n v="3"/>
    <n v="8"/>
    <n v="3"/>
    <n v="3"/>
    <x v="9"/>
    <m/>
    <n v="3"/>
    <n v="0"/>
    <n v="3"/>
  </r>
  <r>
    <n v="40"/>
    <x v="1"/>
    <x v="1"/>
    <n v="1184"/>
    <x v="0"/>
    <n v="2"/>
    <n v="4"/>
    <x v="2"/>
    <n v="1"/>
    <n v="1212"/>
    <n v="2"/>
    <x v="1"/>
    <n v="62"/>
    <n v="3"/>
    <n v="2"/>
    <x v="0"/>
    <n v="2"/>
    <x v="1"/>
    <n v="4327"/>
    <n v="25440"/>
    <n v="5"/>
    <s v="Y"/>
    <x v="1"/>
    <n v="12"/>
    <n v="3"/>
    <n v="4"/>
    <n v="80"/>
    <n v="3"/>
    <n v="5"/>
    <n v="2"/>
    <n v="3"/>
    <x v="2"/>
    <m/>
    <n v="0"/>
    <n v="0"/>
    <n v="0"/>
  </r>
  <r>
    <n v="50"/>
    <x v="1"/>
    <x v="1"/>
    <n v="1421"/>
    <x v="1"/>
    <n v="2"/>
    <n v="3"/>
    <x v="2"/>
    <n v="1"/>
    <n v="1215"/>
    <n v="4"/>
    <x v="0"/>
    <n v="30"/>
    <n v="3"/>
    <n v="4"/>
    <x v="5"/>
    <n v="1"/>
    <x v="1"/>
    <n v="17856"/>
    <n v="9490"/>
    <n v="2"/>
    <s v="Y"/>
    <x v="1"/>
    <n v="22"/>
    <n v="4"/>
    <n v="3"/>
    <n v="80"/>
    <n v="1"/>
    <n v="32"/>
    <n v="3"/>
    <n v="3"/>
    <x v="4"/>
    <m/>
    <n v="2"/>
    <n v="2"/>
    <n v="2"/>
  </r>
  <r>
    <n v="28"/>
    <x v="1"/>
    <x v="0"/>
    <n v="1179"/>
    <x v="1"/>
    <n v="19"/>
    <n v="4"/>
    <x v="2"/>
    <n v="1"/>
    <n v="1216"/>
    <n v="4"/>
    <x v="1"/>
    <n v="78"/>
    <n v="2"/>
    <n v="1"/>
    <x v="2"/>
    <n v="1"/>
    <x v="1"/>
    <n v="3196"/>
    <n v="12449"/>
    <n v="1"/>
    <s v="Y"/>
    <x v="1"/>
    <n v="12"/>
    <n v="3"/>
    <n v="3"/>
    <n v="80"/>
    <n v="3"/>
    <n v="6"/>
    <n v="2"/>
    <n v="3"/>
    <x v="0"/>
    <m/>
    <n v="5"/>
    <n v="3"/>
    <n v="3"/>
  </r>
  <r>
    <n v="46"/>
    <x v="1"/>
    <x v="0"/>
    <n v="1450"/>
    <x v="1"/>
    <n v="15"/>
    <n v="2"/>
    <x v="0"/>
    <n v="1"/>
    <n v="1217"/>
    <n v="4"/>
    <x v="1"/>
    <n v="52"/>
    <n v="3"/>
    <n v="5"/>
    <x v="7"/>
    <n v="2"/>
    <x v="1"/>
    <n v="19081"/>
    <n v="10849"/>
    <n v="5"/>
    <s v="Y"/>
    <x v="1"/>
    <n v="11"/>
    <n v="3"/>
    <n v="1"/>
    <n v="80"/>
    <n v="1"/>
    <n v="25"/>
    <n v="2"/>
    <n v="3"/>
    <x v="9"/>
    <m/>
    <n v="2"/>
    <n v="0"/>
    <n v="3"/>
  </r>
  <r>
    <n v="35"/>
    <x v="1"/>
    <x v="0"/>
    <n v="1361"/>
    <x v="0"/>
    <n v="17"/>
    <n v="4"/>
    <x v="0"/>
    <n v="1"/>
    <n v="1218"/>
    <n v="3"/>
    <x v="1"/>
    <n v="94"/>
    <n v="3"/>
    <n v="2"/>
    <x v="0"/>
    <n v="1"/>
    <x v="1"/>
    <n v="8966"/>
    <n v="21026"/>
    <n v="3"/>
    <s v="Y"/>
    <x v="0"/>
    <n v="15"/>
    <n v="3"/>
    <n v="4"/>
    <n v="80"/>
    <n v="3"/>
    <n v="15"/>
    <n v="2"/>
    <n v="3"/>
    <x v="5"/>
    <m/>
    <n v="7"/>
    <n v="1"/>
    <n v="7"/>
  </r>
  <r>
    <n v="24"/>
    <x v="0"/>
    <x v="0"/>
    <n v="984"/>
    <x v="1"/>
    <n v="17"/>
    <n v="2"/>
    <x v="0"/>
    <n v="1"/>
    <n v="1219"/>
    <n v="4"/>
    <x v="0"/>
    <n v="97"/>
    <n v="3"/>
    <n v="1"/>
    <x v="2"/>
    <n v="2"/>
    <x v="1"/>
    <n v="2210"/>
    <n v="3372"/>
    <n v="1"/>
    <s v="Y"/>
    <x v="1"/>
    <n v="13"/>
    <n v="3"/>
    <n v="1"/>
    <n v="80"/>
    <n v="1"/>
    <n v="1"/>
    <n v="3"/>
    <n v="1"/>
    <x v="6"/>
    <m/>
    <n v="0"/>
    <n v="0"/>
    <n v="0"/>
  </r>
  <r>
    <n v="33"/>
    <x v="1"/>
    <x v="1"/>
    <n v="1146"/>
    <x v="0"/>
    <n v="25"/>
    <n v="3"/>
    <x v="2"/>
    <n v="1"/>
    <n v="1220"/>
    <n v="2"/>
    <x v="0"/>
    <n v="82"/>
    <n v="3"/>
    <n v="2"/>
    <x v="0"/>
    <n v="3"/>
    <x v="1"/>
    <n v="4539"/>
    <n v="4905"/>
    <n v="1"/>
    <s v="Y"/>
    <x v="1"/>
    <n v="12"/>
    <n v="3"/>
    <n v="1"/>
    <n v="80"/>
    <n v="1"/>
    <n v="10"/>
    <n v="3"/>
    <n v="2"/>
    <x v="1"/>
    <m/>
    <n v="7"/>
    <n v="0"/>
    <n v="1"/>
  </r>
  <r>
    <n v="36"/>
    <x v="1"/>
    <x v="0"/>
    <n v="917"/>
    <x v="1"/>
    <n v="6"/>
    <n v="4"/>
    <x v="0"/>
    <n v="1"/>
    <n v="1221"/>
    <n v="3"/>
    <x v="1"/>
    <n v="60"/>
    <n v="1"/>
    <n v="1"/>
    <x v="2"/>
    <n v="3"/>
    <x v="2"/>
    <n v="2741"/>
    <n v="6865"/>
    <n v="1"/>
    <s v="Y"/>
    <x v="1"/>
    <n v="14"/>
    <n v="3"/>
    <n v="3"/>
    <n v="80"/>
    <n v="1"/>
    <n v="7"/>
    <n v="4"/>
    <n v="3"/>
    <x v="5"/>
    <m/>
    <n v="7"/>
    <n v="1"/>
    <n v="7"/>
  </r>
  <r>
    <n v="30"/>
    <x v="1"/>
    <x v="0"/>
    <n v="853"/>
    <x v="1"/>
    <n v="7"/>
    <n v="4"/>
    <x v="0"/>
    <n v="1"/>
    <n v="1224"/>
    <n v="3"/>
    <x v="1"/>
    <n v="49"/>
    <n v="3"/>
    <n v="2"/>
    <x v="2"/>
    <n v="3"/>
    <x v="2"/>
    <n v="3491"/>
    <n v="11309"/>
    <n v="1"/>
    <s v="Y"/>
    <x v="1"/>
    <n v="13"/>
    <n v="3"/>
    <n v="1"/>
    <n v="80"/>
    <n v="3"/>
    <n v="10"/>
    <n v="4"/>
    <n v="2"/>
    <x v="1"/>
    <m/>
    <n v="7"/>
    <n v="8"/>
    <n v="9"/>
  </r>
  <r>
    <n v="44"/>
    <x v="1"/>
    <x v="0"/>
    <n v="200"/>
    <x v="1"/>
    <n v="29"/>
    <n v="4"/>
    <x v="1"/>
    <n v="1"/>
    <n v="1225"/>
    <n v="4"/>
    <x v="1"/>
    <n v="32"/>
    <n v="3"/>
    <n v="2"/>
    <x v="1"/>
    <n v="4"/>
    <x v="0"/>
    <n v="4541"/>
    <n v="7744"/>
    <n v="1"/>
    <s v="Y"/>
    <x v="1"/>
    <n v="25"/>
    <n v="4"/>
    <n v="2"/>
    <n v="80"/>
    <n v="0"/>
    <n v="20"/>
    <n v="3"/>
    <n v="3"/>
    <x v="23"/>
    <m/>
    <n v="11"/>
    <n v="13"/>
    <n v="17"/>
  </r>
  <r>
    <n v="20"/>
    <x v="1"/>
    <x v="0"/>
    <n v="654"/>
    <x v="0"/>
    <n v="21"/>
    <n v="3"/>
    <x v="3"/>
    <n v="1"/>
    <n v="1226"/>
    <n v="3"/>
    <x v="1"/>
    <n v="43"/>
    <n v="4"/>
    <n v="1"/>
    <x v="6"/>
    <n v="4"/>
    <x v="0"/>
    <n v="2678"/>
    <n v="5050"/>
    <n v="1"/>
    <s v="Y"/>
    <x v="1"/>
    <n v="17"/>
    <n v="3"/>
    <n v="4"/>
    <n v="80"/>
    <n v="0"/>
    <n v="2"/>
    <n v="2"/>
    <n v="3"/>
    <x v="4"/>
    <m/>
    <n v="1"/>
    <n v="2"/>
    <n v="2"/>
  </r>
  <r>
    <n v="46"/>
    <x v="1"/>
    <x v="0"/>
    <n v="150"/>
    <x v="1"/>
    <n v="2"/>
    <n v="4"/>
    <x v="4"/>
    <n v="1"/>
    <n v="1228"/>
    <n v="4"/>
    <x v="1"/>
    <n v="60"/>
    <n v="3"/>
    <n v="2"/>
    <x v="3"/>
    <n v="4"/>
    <x v="2"/>
    <n v="7379"/>
    <n v="17433"/>
    <n v="2"/>
    <s v="Y"/>
    <x v="1"/>
    <n v="11"/>
    <n v="3"/>
    <n v="3"/>
    <n v="80"/>
    <n v="1"/>
    <n v="12"/>
    <n v="3"/>
    <n v="2"/>
    <x v="0"/>
    <m/>
    <n v="3"/>
    <n v="1"/>
    <n v="4"/>
  </r>
  <r>
    <n v="42"/>
    <x v="1"/>
    <x v="2"/>
    <n v="179"/>
    <x v="2"/>
    <n v="2"/>
    <n v="5"/>
    <x v="2"/>
    <n v="1"/>
    <n v="1231"/>
    <n v="4"/>
    <x v="1"/>
    <n v="79"/>
    <n v="4"/>
    <n v="2"/>
    <x v="8"/>
    <n v="1"/>
    <x v="1"/>
    <n v="6272"/>
    <n v="12858"/>
    <n v="7"/>
    <s v="Y"/>
    <x v="1"/>
    <n v="16"/>
    <n v="3"/>
    <n v="1"/>
    <n v="80"/>
    <n v="1"/>
    <n v="10"/>
    <n v="3"/>
    <n v="4"/>
    <x v="9"/>
    <m/>
    <n v="3"/>
    <n v="0"/>
    <n v="3"/>
  </r>
  <r>
    <n v="60"/>
    <x v="1"/>
    <x v="0"/>
    <n v="696"/>
    <x v="0"/>
    <n v="7"/>
    <n v="4"/>
    <x v="3"/>
    <n v="1"/>
    <n v="1233"/>
    <n v="2"/>
    <x v="1"/>
    <n v="52"/>
    <n v="4"/>
    <n v="2"/>
    <x v="0"/>
    <n v="4"/>
    <x v="2"/>
    <n v="5220"/>
    <n v="10893"/>
    <n v="0"/>
    <s v="Y"/>
    <x v="0"/>
    <n v="18"/>
    <n v="3"/>
    <n v="2"/>
    <n v="80"/>
    <n v="1"/>
    <n v="12"/>
    <n v="3"/>
    <n v="3"/>
    <x v="19"/>
    <m/>
    <n v="7"/>
    <n v="1"/>
    <n v="9"/>
  </r>
  <r>
    <n v="32"/>
    <x v="1"/>
    <x v="1"/>
    <n v="116"/>
    <x v="1"/>
    <n v="13"/>
    <n v="3"/>
    <x v="1"/>
    <n v="1"/>
    <n v="1234"/>
    <n v="3"/>
    <x v="0"/>
    <n v="77"/>
    <n v="2"/>
    <n v="1"/>
    <x v="2"/>
    <n v="2"/>
    <x v="1"/>
    <n v="2743"/>
    <n v="7331"/>
    <n v="1"/>
    <s v="Y"/>
    <x v="1"/>
    <n v="20"/>
    <n v="4"/>
    <n v="3"/>
    <n v="80"/>
    <n v="1"/>
    <n v="2"/>
    <n v="2"/>
    <n v="3"/>
    <x v="4"/>
    <m/>
    <n v="2"/>
    <n v="2"/>
    <n v="2"/>
  </r>
  <r>
    <n v="32"/>
    <x v="1"/>
    <x v="1"/>
    <n v="1316"/>
    <x v="1"/>
    <n v="2"/>
    <n v="2"/>
    <x v="0"/>
    <n v="1"/>
    <n v="1235"/>
    <n v="4"/>
    <x v="0"/>
    <n v="38"/>
    <n v="3"/>
    <n v="2"/>
    <x v="1"/>
    <n v="3"/>
    <x v="0"/>
    <n v="4998"/>
    <n v="2338"/>
    <n v="4"/>
    <s v="Y"/>
    <x v="0"/>
    <n v="14"/>
    <n v="3"/>
    <n v="4"/>
    <n v="80"/>
    <n v="0"/>
    <n v="10"/>
    <n v="2"/>
    <n v="3"/>
    <x v="3"/>
    <m/>
    <n v="7"/>
    <n v="0"/>
    <n v="7"/>
  </r>
  <r>
    <n v="36"/>
    <x v="1"/>
    <x v="0"/>
    <n v="363"/>
    <x v="1"/>
    <n v="1"/>
    <n v="3"/>
    <x v="4"/>
    <n v="1"/>
    <n v="1237"/>
    <n v="3"/>
    <x v="0"/>
    <n v="77"/>
    <n v="1"/>
    <n v="3"/>
    <x v="3"/>
    <n v="1"/>
    <x v="2"/>
    <n v="10252"/>
    <n v="4235"/>
    <n v="2"/>
    <s v="Y"/>
    <x v="0"/>
    <n v="21"/>
    <n v="4"/>
    <n v="3"/>
    <n v="80"/>
    <n v="1"/>
    <n v="17"/>
    <n v="2"/>
    <n v="3"/>
    <x v="5"/>
    <m/>
    <n v="7"/>
    <n v="7"/>
    <n v="7"/>
  </r>
  <r>
    <n v="33"/>
    <x v="1"/>
    <x v="0"/>
    <n v="117"/>
    <x v="1"/>
    <n v="9"/>
    <n v="3"/>
    <x v="2"/>
    <n v="1"/>
    <n v="1238"/>
    <n v="1"/>
    <x v="1"/>
    <n v="60"/>
    <n v="3"/>
    <n v="1"/>
    <x v="1"/>
    <n v="4"/>
    <x v="1"/>
    <n v="2781"/>
    <n v="6311"/>
    <n v="0"/>
    <s v="Y"/>
    <x v="1"/>
    <n v="13"/>
    <n v="3"/>
    <n v="2"/>
    <n v="80"/>
    <n v="1"/>
    <n v="15"/>
    <n v="5"/>
    <n v="3"/>
    <x v="13"/>
    <m/>
    <n v="10"/>
    <n v="4"/>
    <n v="10"/>
  </r>
  <r>
    <n v="40"/>
    <x v="1"/>
    <x v="0"/>
    <n v="107"/>
    <x v="0"/>
    <n v="10"/>
    <n v="3"/>
    <x v="4"/>
    <n v="1"/>
    <n v="1239"/>
    <n v="2"/>
    <x v="0"/>
    <n v="84"/>
    <n v="2"/>
    <n v="2"/>
    <x v="0"/>
    <n v="2"/>
    <x v="2"/>
    <n v="6852"/>
    <n v="11591"/>
    <n v="7"/>
    <s v="Y"/>
    <x v="1"/>
    <n v="12"/>
    <n v="3"/>
    <n v="2"/>
    <n v="80"/>
    <n v="1"/>
    <n v="7"/>
    <n v="2"/>
    <n v="4"/>
    <x v="8"/>
    <m/>
    <n v="1"/>
    <n v="1"/>
    <n v="3"/>
  </r>
  <r>
    <n v="25"/>
    <x v="1"/>
    <x v="0"/>
    <n v="1356"/>
    <x v="0"/>
    <n v="10"/>
    <n v="4"/>
    <x v="0"/>
    <n v="1"/>
    <n v="1240"/>
    <n v="3"/>
    <x v="1"/>
    <n v="57"/>
    <n v="3"/>
    <n v="2"/>
    <x v="0"/>
    <n v="4"/>
    <x v="0"/>
    <n v="4950"/>
    <n v="20623"/>
    <n v="0"/>
    <s v="Y"/>
    <x v="1"/>
    <n v="14"/>
    <n v="3"/>
    <n v="2"/>
    <n v="80"/>
    <n v="0"/>
    <n v="5"/>
    <n v="4"/>
    <n v="3"/>
    <x v="9"/>
    <m/>
    <n v="3"/>
    <n v="1"/>
    <n v="1"/>
  </r>
  <r>
    <n v="30"/>
    <x v="1"/>
    <x v="0"/>
    <n v="1465"/>
    <x v="1"/>
    <n v="1"/>
    <n v="3"/>
    <x v="2"/>
    <n v="1"/>
    <n v="1241"/>
    <n v="4"/>
    <x v="1"/>
    <n v="63"/>
    <n v="3"/>
    <n v="1"/>
    <x v="1"/>
    <n v="2"/>
    <x v="1"/>
    <n v="3579"/>
    <n v="9369"/>
    <n v="0"/>
    <s v="Y"/>
    <x v="0"/>
    <n v="21"/>
    <n v="4"/>
    <n v="1"/>
    <n v="80"/>
    <n v="1"/>
    <n v="12"/>
    <n v="2"/>
    <n v="3"/>
    <x v="19"/>
    <m/>
    <n v="9"/>
    <n v="5"/>
    <n v="7"/>
  </r>
  <r>
    <n v="42"/>
    <x v="1"/>
    <x v="1"/>
    <n v="458"/>
    <x v="1"/>
    <n v="26"/>
    <n v="5"/>
    <x v="2"/>
    <n v="1"/>
    <n v="1242"/>
    <n v="1"/>
    <x v="0"/>
    <n v="60"/>
    <n v="3"/>
    <n v="3"/>
    <x v="7"/>
    <n v="1"/>
    <x v="1"/>
    <n v="13191"/>
    <n v="23281"/>
    <n v="3"/>
    <s v="Y"/>
    <x v="0"/>
    <n v="17"/>
    <n v="3"/>
    <n v="3"/>
    <n v="80"/>
    <n v="0"/>
    <n v="20"/>
    <n v="6"/>
    <n v="3"/>
    <x v="6"/>
    <m/>
    <n v="0"/>
    <n v="0"/>
    <n v="0"/>
  </r>
  <r>
    <n v="35"/>
    <x v="1"/>
    <x v="2"/>
    <n v="1212"/>
    <x v="0"/>
    <n v="8"/>
    <n v="2"/>
    <x v="3"/>
    <n v="1"/>
    <n v="1243"/>
    <n v="3"/>
    <x v="0"/>
    <n v="78"/>
    <n v="2"/>
    <n v="3"/>
    <x v="0"/>
    <n v="4"/>
    <x v="1"/>
    <n v="10377"/>
    <n v="13755"/>
    <n v="4"/>
    <s v="Y"/>
    <x v="0"/>
    <n v="11"/>
    <n v="3"/>
    <n v="2"/>
    <n v="80"/>
    <n v="1"/>
    <n v="16"/>
    <n v="6"/>
    <n v="2"/>
    <x v="20"/>
    <m/>
    <n v="2"/>
    <n v="4"/>
    <n v="12"/>
  </r>
  <r>
    <n v="27"/>
    <x v="1"/>
    <x v="0"/>
    <n v="1103"/>
    <x v="1"/>
    <n v="14"/>
    <n v="3"/>
    <x v="0"/>
    <n v="1"/>
    <n v="1244"/>
    <n v="1"/>
    <x v="1"/>
    <n v="42"/>
    <n v="3"/>
    <n v="1"/>
    <x v="1"/>
    <n v="1"/>
    <x v="1"/>
    <n v="2235"/>
    <n v="14377"/>
    <n v="1"/>
    <s v="Y"/>
    <x v="0"/>
    <n v="14"/>
    <n v="3"/>
    <n v="4"/>
    <n v="80"/>
    <n v="2"/>
    <n v="9"/>
    <n v="3"/>
    <n v="2"/>
    <x v="7"/>
    <m/>
    <n v="7"/>
    <n v="6"/>
    <n v="8"/>
  </r>
  <r>
    <n v="54"/>
    <x v="1"/>
    <x v="1"/>
    <n v="966"/>
    <x v="1"/>
    <n v="1"/>
    <n v="4"/>
    <x v="0"/>
    <n v="1"/>
    <n v="1245"/>
    <n v="4"/>
    <x v="0"/>
    <n v="53"/>
    <n v="3"/>
    <n v="3"/>
    <x v="3"/>
    <n v="3"/>
    <x v="2"/>
    <n v="10502"/>
    <n v="9659"/>
    <n v="7"/>
    <s v="Y"/>
    <x v="1"/>
    <n v="17"/>
    <n v="3"/>
    <n v="1"/>
    <n v="80"/>
    <n v="1"/>
    <n v="33"/>
    <n v="2"/>
    <n v="1"/>
    <x v="8"/>
    <m/>
    <n v="4"/>
    <n v="1"/>
    <n v="4"/>
  </r>
  <r>
    <n v="44"/>
    <x v="1"/>
    <x v="0"/>
    <n v="1117"/>
    <x v="1"/>
    <n v="2"/>
    <n v="1"/>
    <x v="0"/>
    <n v="1"/>
    <n v="1246"/>
    <n v="1"/>
    <x v="0"/>
    <n v="72"/>
    <n v="4"/>
    <n v="1"/>
    <x v="1"/>
    <n v="4"/>
    <x v="1"/>
    <n v="2011"/>
    <n v="19982"/>
    <n v="1"/>
    <s v="Y"/>
    <x v="1"/>
    <n v="13"/>
    <n v="3"/>
    <n v="4"/>
    <n v="80"/>
    <n v="1"/>
    <n v="10"/>
    <n v="5"/>
    <n v="3"/>
    <x v="1"/>
    <m/>
    <n v="5"/>
    <n v="7"/>
    <n v="7"/>
  </r>
  <r>
    <n v="19"/>
    <x v="0"/>
    <x v="2"/>
    <n v="504"/>
    <x v="1"/>
    <n v="10"/>
    <n v="3"/>
    <x v="2"/>
    <n v="1"/>
    <n v="1248"/>
    <n v="1"/>
    <x v="0"/>
    <n v="96"/>
    <n v="2"/>
    <n v="1"/>
    <x v="1"/>
    <n v="2"/>
    <x v="0"/>
    <n v="1859"/>
    <n v="6148"/>
    <n v="1"/>
    <s v="Y"/>
    <x v="0"/>
    <n v="25"/>
    <n v="4"/>
    <n v="2"/>
    <n v="80"/>
    <n v="0"/>
    <n v="1"/>
    <n v="2"/>
    <n v="4"/>
    <x v="6"/>
    <m/>
    <n v="1"/>
    <n v="0"/>
    <n v="0"/>
  </r>
  <r>
    <n v="29"/>
    <x v="1"/>
    <x v="0"/>
    <n v="1010"/>
    <x v="1"/>
    <n v="1"/>
    <n v="3"/>
    <x v="0"/>
    <n v="1"/>
    <n v="1249"/>
    <n v="1"/>
    <x v="0"/>
    <n v="97"/>
    <n v="3"/>
    <n v="1"/>
    <x v="1"/>
    <n v="4"/>
    <x v="2"/>
    <n v="3760"/>
    <n v="5598"/>
    <n v="1"/>
    <s v="Y"/>
    <x v="1"/>
    <n v="15"/>
    <n v="3"/>
    <n v="1"/>
    <n v="80"/>
    <n v="3"/>
    <n v="3"/>
    <n v="5"/>
    <n v="3"/>
    <x v="11"/>
    <m/>
    <n v="2"/>
    <n v="1"/>
    <n v="2"/>
  </r>
  <r>
    <n v="54"/>
    <x v="1"/>
    <x v="0"/>
    <n v="685"/>
    <x v="1"/>
    <n v="3"/>
    <n v="3"/>
    <x v="0"/>
    <n v="1"/>
    <n v="1250"/>
    <n v="4"/>
    <x v="1"/>
    <n v="85"/>
    <n v="3"/>
    <n v="4"/>
    <x v="7"/>
    <n v="4"/>
    <x v="1"/>
    <n v="17779"/>
    <n v="23474"/>
    <n v="3"/>
    <s v="Y"/>
    <x v="1"/>
    <n v="14"/>
    <n v="3"/>
    <n v="1"/>
    <n v="80"/>
    <n v="0"/>
    <n v="36"/>
    <n v="2"/>
    <n v="3"/>
    <x v="1"/>
    <m/>
    <n v="9"/>
    <n v="0"/>
    <n v="9"/>
  </r>
  <r>
    <n v="31"/>
    <x v="1"/>
    <x v="0"/>
    <n v="1332"/>
    <x v="1"/>
    <n v="11"/>
    <n v="2"/>
    <x v="2"/>
    <n v="1"/>
    <n v="1251"/>
    <n v="3"/>
    <x v="1"/>
    <n v="80"/>
    <n v="3"/>
    <n v="2"/>
    <x v="4"/>
    <n v="1"/>
    <x v="1"/>
    <n v="6833"/>
    <n v="17089"/>
    <n v="1"/>
    <s v="Y"/>
    <x v="0"/>
    <n v="12"/>
    <n v="3"/>
    <n v="4"/>
    <n v="80"/>
    <n v="0"/>
    <n v="6"/>
    <n v="2"/>
    <n v="2"/>
    <x v="0"/>
    <m/>
    <n v="5"/>
    <n v="0"/>
    <n v="1"/>
  </r>
  <r>
    <n v="31"/>
    <x v="1"/>
    <x v="0"/>
    <n v="1062"/>
    <x v="1"/>
    <n v="24"/>
    <n v="3"/>
    <x v="2"/>
    <n v="1"/>
    <n v="1252"/>
    <n v="3"/>
    <x v="0"/>
    <n v="96"/>
    <n v="2"/>
    <n v="2"/>
    <x v="4"/>
    <n v="1"/>
    <x v="0"/>
    <n v="6812"/>
    <n v="17198"/>
    <n v="1"/>
    <s v="Y"/>
    <x v="1"/>
    <n v="19"/>
    <n v="3"/>
    <n v="2"/>
    <n v="80"/>
    <n v="0"/>
    <n v="10"/>
    <n v="2"/>
    <n v="3"/>
    <x v="1"/>
    <m/>
    <n v="9"/>
    <n v="1"/>
    <n v="8"/>
  </r>
  <r>
    <n v="59"/>
    <x v="1"/>
    <x v="0"/>
    <n v="326"/>
    <x v="0"/>
    <n v="3"/>
    <n v="3"/>
    <x v="0"/>
    <n v="1"/>
    <n v="1254"/>
    <n v="3"/>
    <x v="0"/>
    <n v="48"/>
    <n v="2"/>
    <n v="2"/>
    <x v="0"/>
    <n v="4"/>
    <x v="0"/>
    <n v="5171"/>
    <n v="16490"/>
    <n v="5"/>
    <s v="Y"/>
    <x v="1"/>
    <n v="17"/>
    <n v="3"/>
    <n v="4"/>
    <n v="80"/>
    <n v="0"/>
    <n v="13"/>
    <n v="2"/>
    <n v="3"/>
    <x v="0"/>
    <m/>
    <n v="1"/>
    <n v="0"/>
    <n v="5"/>
  </r>
  <r>
    <n v="43"/>
    <x v="1"/>
    <x v="0"/>
    <n v="920"/>
    <x v="1"/>
    <n v="3"/>
    <n v="3"/>
    <x v="0"/>
    <n v="1"/>
    <n v="1255"/>
    <n v="3"/>
    <x v="1"/>
    <n v="96"/>
    <n v="1"/>
    <n v="5"/>
    <x v="7"/>
    <n v="4"/>
    <x v="1"/>
    <n v="19740"/>
    <n v="18625"/>
    <n v="3"/>
    <s v="Y"/>
    <x v="1"/>
    <n v="14"/>
    <n v="3"/>
    <n v="2"/>
    <n v="80"/>
    <n v="1"/>
    <n v="25"/>
    <n v="2"/>
    <n v="3"/>
    <x v="3"/>
    <m/>
    <n v="7"/>
    <n v="0"/>
    <n v="7"/>
  </r>
  <r>
    <n v="49"/>
    <x v="1"/>
    <x v="0"/>
    <n v="1098"/>
    <x v="1"/>
    <n v="4"/>
    <n v="2"/>
    <x v="2"/>
    <n v="1"/>
    <n v="1256"/>
    <n v="1"/>
    <x v="1"/>
    <n v="85"/>
    <n v="2"/>
    <n v="5"/>
    <x v="5"/>
    <n v="3"/>
    <x v="1"/>
    <n v="18711"/>
    <n v="12124"/>
    <n v="2"/>
    <s v="Y"/>
    <x v="1"/>
    <n v="13"/>
    <n v="3"/>
    <n v="3"/>
    <n v="80"/>
    <n v="1"/>
    <n v="23"/>
    <n v="2"/>
    <n v="4"/>
    <x v="6"/>
    <m/>
    <n v="0"/>
    <n v="0"/>
    <n v="0"/>
  </r>
  <r>
    <n v="36"/>
    <x v="1"/>
    <x v="1"/>
    <n v="469"/>
    <x v="1"/>
    <n v="3"/>
    <n v="3"/>
    <x v="4"/>
    <n v="1"/>
    <n v="1257"/>
    <n v="3"/>
    <x v="1"/>
    <n v="46"/>
    <n v="3"/>
    <n v="1"/>
    <x v="1"/>
    <n v="2"/>
    <x v="1"/>
    <n v="3692"/>
    <n v="9256"/>
    <n v="1"/>
    <s v="Y"/>
    <x v="1"/>
    <n v="12"/>
    <n v="3"/>
    <n v="3"/>
    <n v="80"/>
    <n v="0"/>
    <n v="12"/>
    <n v="2"/>
    <n v="2"/>
    <x v="19"/>
    <m/>
    <n v="10"/>
    <n v="0"/>
    <n v="7"/>
  </r>
  <r>
    <n v="48"/>
    <x v="1"/>
    <x v="0"/>
    <n v="969"/>
    <x v="1"/>
    <n v="2"/>
    <n v="2"/>
    <x v="4"/>
    <n v="1"/>
    <n v="1258"/>
    <n v="4"/>
    <x v="1"/>
    <n v="76"/>
    <n v="4"/>
    <n v="1"/>
    <x v="2"/>
    <n v="2"/>
    <x v="0"/>
    <n v="2559"/>
    <n v="16620"/>
    <n v="5"/>
    <s v="Y"/>
    <x v="1"/>
    <n v="11"/>
    <n v="3"/>
    <n v="3"/>
    <n v="80"/>
    <n v="0"/>
    <n v="7"/>
    <n v="4"/>
    <n v="2"/>
    <x v="6"/>
    <m/>
    <n v="0"/>
    <n v="0"/>
    <n v="0"/>
  </r>
  <r>
    <n v="27"/>
    <x v="1"/>
    <x v="0"/>
    <n v="1167"/>
    <x v="1"/>
    <n v="4"/>
    <n v="2"/>
    <x v="0"/>
    <n v="1"/>
    <n v="1259"/>
    <n v="1"/>
    <x v="1"/>
    <n v="76"/>
    <n v="3"/>
    <n v="1"/>
    <x v="1"/>
    <n v="3"/>
    <x v="2"/>
    <n v="2517"/>
    <n v="3208"/>
    <n v="1"/>
    <s v="Y"/>
    <x v="1"/>
    <n v="11"/>
    <n v="3"/>
    <n v="2"/>
    <n v="80"/>
    <n v="3"/>
    <n v="5"/>
    <n v="2"/>
    <n v="3"/>
    <x v="8"/>
    <m/>
    <n v="3"/>
    <n v="0"/>
    <n v="3"/>
  </r>
  <r>
    <n v="29"/>
    <x v="1"/>
    <x v="0"/>
    <n v="1329"/>
    <x v="1"/>
    <n v="7"/>
    <n v="3"/>
    <x v="0"/>
    <n v="1"/>
    <n v="1260"/>
    <n v="3"/>
    <x v="1"/>
    <n v="82"/>
    <n v="3"/>
    <n v="2"/>
    <x v="4"/>
    <n v="4"/>
    <x v="2"/>
    <n v="6623"/>
    <n v="4204"/>
    <n v="1"/>
    <s v="Y"/>
    <x v="0"/>
    <n v="11"/>
    <n v="3"/>
    <n v="2"/>
    <n v="80"/>
    <n v="2"/>
    <n v="6"/>
    <n v="2"/>
    <n v="3"/>
    <x v="0"/>
    <m/>
    <n v="0"/>
    <n v="1"/>
    <n v="0"/>
  </r>
  <r>
    <n v="48"/>
    <x v="1"/>
    <x v="0"/>
    <n v="715"/>
    <x v="1"/>
    <n v="1"/>
    <n v="3"/>
    <x v="0"/>
    <n v="1"/>
    <n v="1263"/>
    <n v="4"/>
    <x v="1"/>
    <n v="76"/>
    <n v="2"/>
    <n v="5"/>
    <x v="7"/>
    <n v="4"/>
    <x v="0"/>
    <n v="18265"/>
    <n v="8733"/>
    <n v="6"/>
    <s v="Y"/>
    <x v="1"/>
    <n v="12"/>
    <n v="3"/>
    <n v="3"/>
    <n v="80"/>
    <n v="0"/>
    <n v="25"/>
    <n v="3"/>
    <n v="4"/>
    <x v="6"/>
    <m/>
    <n v="0"/>
    <n v="0"/>
    <n v="0"/>
  </r>
  <r>
    <n v="29"/>
    <x v="1"/>
    <x v="0"/>
    <n v="694"/>
    <x v="1"/>
    <n v="1"/>
    <n v="3"/>
    <x v="0"/>
    <n v="1"/>
    <n v="1264"/>
    <n v="4"/>
    <x v="0"/>
    <n v="87"/>
    <n v="2"/>
    <n v="4"/>
    <x v="7"/>
    <n v="4"/>
    <x v="2"/>
    <n v="16124"/>
    <n v="3423"/>
    <n v="3"/>
    <s v="Y"/>
    <x v="1"/>
    <n v="14"/>
    <n v="3"/>
    <n v="2"/>
    <n v="80"/>
    <n v="2"/>
    <n v="9"/>
    <n v="2"/>
    <n v="2"/>
    <x v="5"/>
    <m/>
    <n v="7"/>
    <n v="1"/>
    <n v="7"/>
  </r>
  <r>
    <n v="34"/>
    <x v="1"/>
    <x v="0"/>
    <n v="1320"/>
    <x v="1"/>
    <n v="20"/>
    <n v="3"/>
    <x v="4"/>
    <n v="1"/>
    <n v="1265"/>
    <n v="3"/>
    <x v="0"/>
    <n v="89"/>
    <n v="4"/>
    <n v="1"/>
    <x v="1"/>
    <n v="3"/>
    <x v="1"/>
    <n v="2585"/>
    <n v="21643"/>
    <n v="0"/>
    <s v="Y"/>
    <x v="1"/>
    <n v="17"/>
    <n v="3"/>
    <n v="4"/>
    <n v="80"/>
    <n v="0"/>
    <n v="2"/>
    <n v="5"/>
    <n v="2"/>
    <x v="6"/>
    <m/>
    <n v="0"/>
    <n v="0"/>
    <n v="0"/>
  </r>
  <r>
    <n v="44"/>
    <x v="1"/>
    <x v="0"/>
    <n v="1099"/>
    <x v="0"/>
    <n v="5"/>
    <n v="3"/>
    <x v="3"/>
    <n v="1"/>
    <n v="1267"/>
    <n v="2"/>
    <x v="1"/>
    <n v="88"/>
    <n v="3"/>
    <n v="5"/>
    <x v="5"/>
    <n v="2"/>
    <x v="1"/>
    <n v="18213"/>
    <n v="8751"/>
    <n v="7"/>
    <s v="Y"/>
    <x v="1"/>
    <n v="11"/>
    <n v="3"/>
    <n v="3"/>
    <n v="80"/>
    <n v="1"/>
    <n v="26"/>
    <n v="5"/>
    <n v="3"/>
    <x v="14"/>
    <m/>
    <n v="9"/>
    <n v="3"/>
    <n v="10"/>
  </r>
  <r>
    <n v="33"/>
    <x v="1"/>
    <x v="0"/>
    <n v="536"/>
    <x v="0"/>
    <n v="10"/>
    <n v="5"/>
    <x v="3"/>
    <n v="1"/>
    <n v="1268"/>
    <n v="4"/>
    <x v="1"/>
    <n v="82"/>
    <n v="4"/>
    <n v="3"/>
    <x v="0"/>
    <n v="3"/>
    <x v="2"/>
    <n v="8380"/>
    <n v="21708"/>
    <n v="0"/>
    <s v="Y"/>
    <x v="0"/>
    <n v="14"/>
    <n v="3"/>
    <n v="4"/>
    <n v="80"/>
    <n v="2"/>
    <n v="10"/>
    <n v="3"/>
    <n v="3"/>
    <x v="7"/>
    <m/>
    <n v="8"/>
    <n v="0"/>
    <n v="8"/>
  </r>
  <r>
    <n v="19"/>
    <x v="1"/>
    <x v="0"/>
    <n v="265"/>
    <x v="1"/>
    <n v="25"/>
    <n v="3"/>
    <x v="0"/>
    <n v="1"/>
    <n v="1269"/>
    <n v="2"/>
    <x v="0"/>
    <n v="57"/>
    <n v="4"/>
    <n v="1"/>
    <x v="1"/>
    <n v="4"/>
    <x v="0"/>
    <n v="2994"/>
    <n v="21221"/>
    <n v="1"/>
    <s v="Y"/>
    <x v="0"/>
    <n v="12"/>
    <n v="3"/>
    <n v="4"/>
    <n v="80"/>
    <n v="0"/>
    <n v="1"/>
    <n v="2"/>
    <n v="3"/>
    <x v="6"/>
    <m/>
    <n v="0"/>
    <n v="0"/>
    <n v="1"/>
  </r>
  <r>
    <n v="23"/>
    <x v="1"/>
    <x v="0"/>
    <n v="373"/>
    <x v="1"/>
    <n v="1"/>
    <n v="2"/>
    <x v="0"/>
    <n v="1"/>
    <n v="1270"/>
    <n v="4"/>
    <x v="1"/>
    <n v="47"/>
    <n v="3"/>
    <n v="1"/>
    <x v="1"/>
    <n v="3"/>
    <x v="1"/>
    <n v="1223"/>
    <n v="16901"/>
    <n v="1"/>
    <s v="Y"/>
    <x v="1"/>
    <n v="22"/>
    <n v="4"/>
    <n v="4"/>
    <n v="80"/>
    <n v="1"/>
    <n v="1"/>
    <n v="2"/>
    <n v="3"/>
    <x v="6"/>
    <m/>
    <n v="0"/>
    <n v="0"/>
    <n v="1"/>
  </r>
  <r>
    <n v="25"/>
    <x v="0"/>
    <x v="1"/>
    <n v="599"/>
    <x v="0"/>
    <n v="24"/>
    <n v="1"/>
    <x v="0"/>
    <n v="1"/>
    <n v="1273"/>
    <n v="3"/>
    <x v="1"/>
    <n v="73"/>
    <n v="1"/>
    <n v="1"/>
    <x v="6"/>
    <n v="4"/>
    <x v="0"/>
    <n v="1118"/>
    <n v="8040"/>
    <n v="1"/>
    <s v="Y"/>
    <x v="0"/>
    <n v="14"/>
    <n v="3"/>
    <n v="4"/>
    <n v="80"/>
    <n v="0"/>
    <n v="1"/>
    <n v="4"/>
    <n v="3"/>
    <x v="6"/>
    <m/>
    <n v="0"/>
    <n v="1"/>
    <n v="0"/>
  </r>
  <r>
    <n v="26"/>
    <x v="1"/>
    <x v="0"/>
    <n v="583"/>
    <x v="1"/>
    <n v="4"/>
    <n v="2"/>
    <x v="0"/>
    <n v="1"/>
    <n v="1275"/>
    <n v="3"/>
    <x v="1"/>
    <n v="53"/>
    <n v="3"/>
    <n v="1"/>
    <x v="1"/>
    <n v="4"/>
    <x v="0"/>
    <n v="2875"/>
    <n v="9973"/>
    <n v="1"/>
    <s v="Y"/>
    <x v="0"/>
    <n v="20"/>
    <n v="4"/>
    <n v="2"/>
    <n v="80"/>
    <n v="0"/>
    <n v="8"/>
    <n v="2"/>
    <n v="2"/>
    <x v="3"/>
    <m/>
    <n v="5"/>
    <n v="2"/>
    <n v="2"/>
  </r>
  <r>
    <n v="45"/>
    <x v="0"/>
    <x v="0"/>
    <n v="1449"/>
    <x v="0"/>
    <n v="2"/>
    <n v="3"/>
    <x v="3"/>
    <n v="1"/>
    <n v="1277"/>
    <n v="1"/>
    <x v="0"/>
    <n v="94"/>
    <n v="1"/>
    <n v="5"/>
    <x v="5"/>
    <n v="2"/>
    <x v="0"/>
    <n v="18824"/>
    <n v="2493"/>
    <n v="2"/>
    <s v="Y"/>
    <x v="0"/>
    <n v="16"/>
    <n v="3"/>
    <n v="1"/>
    <n v="80"/>
    <n v="0"/>
    <n v="26"/>
    <n v="2"/>
    <n v="3"/>
    <x v="25"/>
    <m/>
    <n v="10"/>
    <n v="1"/>
    <n v="11"/>
  </r>
  <r>
    <n v="55"/>
    <x v="1"/>
    <x v="2"/>
    <n v="177"/>
    <x v="1"/>
    <n v="8"/>
    <n v="1"/>
    <x v="2"/>
    <n v="1"/>
    <n v="1278"/>
    <n v="4"/>
    <x v="1"/>
    <n v="37"/>
    <n v="2"/>
    <n v="4"/>
    <x v="4"/>
    <n v="2"/>
    <x v="2"/>
    <n v="13577"/>
    <n v="25592"/>
    <n v="1"/>
    <s v="Y"/>
    <x v="0"/>
    <n v="15"/>
    <n v="3"/>
    <n v="4"/>
    <n v="80"/>
    <n v="1"/>
    <n v="34"/>
    <n v="3"/>
    <n v="3"/>
    <x v="26"/>
    <m/>
    <n v="9"/>
    <n v="15"/>
    <n v="0"/>
  </r>
  <r>
    <n v="21"/>
    <x v="0"/>
    <x v="1"/>
    <n v="251"/>
    <x v="1"/>
    <n v="10"/>
    <n v="2"/>
    <x v="0"/>
    <n v="1"/>
    <n v="1279"/>
    <n v="1"/>
    <x v="0"/>
    <n v="45"/>
    <n v="2"/>
    <n v="1"/>
    <x v="2"/>
    <n v="3"/>
    <x v="0"/>
    <n v="2625"/>
    <n v="25308"/>
    <n v="1"/>
    <s v="Y"/>
    <x v="1"/>
    <n v="20"/>
    <n v="4"/>
    <n v="3"/>
    <n v="80"/>
    <n v="0"/>
    <n v="2"/>
    <n v="2"/>
    <n v="1"/>
    <x v="4"/>
    <m/>
    <n v="2"/>
    <n v="2"/>
    <n v="2"/>
  </r>
  <r>
    <n v="46"/>
    <x v="1"/>
    <x v="0"/>
    <n v="168"/>
    <x v="0"/>
    <n v="4"/>
    <n v="2"/>
    <x v="3"/>
    <n v="1"/>
    <n v="1280"/>
    <n v="4"/>
    <x v="0"/>
    <n v="33"/>
    <n v="2"/>
    <n v="5"/>
    <x v="5"/>
    <n v="2"/>
    <x v="1"/>
    <n v="18789"/>
    <n v="9946"/>
    <n v="2"/>
    <s v="Y"/>
    <x v="1"/>
    <n v="14"/>
    <n v="3"/>
    <n v="3"/>
    <n v="80"/>
    <n v="1"/>
    <n v="26"/>
    <n v="2"/>
    <n v="3"/>
    <x v="19"/>
    <m/>
    <n v="4"/>
    <n v="0"/>
    <n v="8"/>
  </r>
  <r>
    <n v="34"/>
    <x v="1"/>
    <x v="0"/>
    <n v="131"/>
    <x v="0"/>
    <n v="2"/>
    <n v="3"/>
    <x v="3"/>
    <n v="1"/>
    <n v="1281"/>
    <n v="3"/>
    <x v="0"/>
    <n v="86"/>
    <n v="3"/>
    <n v="2"/>
    <x v="0"/>
    <n v="1"/>
    <x v="0"/>
    <n v="4538"/>
    <n v="6039"/>
    <n v="0"/>
    <s v="Y"/>
    <x v="0"/>
    <n v="12"/>
    <n v="3"/>
    <n v="4"/>
    <n v="80"/>
    <n v="0"/>
    <n v="4"/>
    <n v="3"/>
    <n v="3"/>
    <x v="11"/>
    <m/>
    <n v="2"/>
    <n v="0"/>
    <n v="2"/>
  </r>
  <r>
    <n v="51"/>
    <x v="1"/>
    <x v="1"/>
    <n v="237"/>
    <x v="0"/>
    <n v="9"/>
    <n v="3"/>
    <x v="0"/>
    <n v="1"/>
    <n v="1282"/>
    <n v="4"/>
    <x v="1"/>
    <n v="83"/>
    <n v="3"/>
    <n v="5"/>
    <x v="5"/>
    <n v="2"/>
    <x v="2"/>
    <n v="19847"/>
    <n v="19196"/>
    <n v="4"/>
    <s v="Y"/>
    <x v="0"/>
    <n v="24"/>
    <n v="4"/>
    <n v="1"/>
    <n v="80"/>
    <n v="1"/>
    <n v="31"/>
    <n v="5"/>
    <n v="2"/>
    <x v="30"/>
    <m/>
    <n v="10"/>
    <n v="11"/>
    <n v="10"/>
  </r>
  <r>
    <n v="59"/>
    <x v="1"/>
    <x v="0"/>
    <n v="1429"/>
    <x v="1"/>
    <n v="18"/>
    <n v="4"/>
    <x v="2"/>
    <n v="1"/>
    <n v="1283"/>
    <n v="4"/>
    <x v="1"/>
    <n v="67"/>
    <n v="3"/>
    <n v="3"/>
    <x v="3"/>
    <n v="4"/>
    <x v="0"/>
    <n v="10512"/>
    <n v="20002"/>
    <n v="6"/>
    <s v="Y"/>
    <x v="1"/>
    <n v="12"/>
    <n v="3"/>
    <n v="4"/>
    <n v="80"/>
    <n v="0"/>
    <n v="25"/>
    <n v="6"/>
    <n v="2"/>
    <x v="7"/>
    <m/>
    <n v="7"/>
    <n v="5"/>
    <n v="4"/>
  </r>
  <r>
    <n v="34"/>
    <x v="1"/>
    <x v="1"/>
    <n v="135"/>
    <x v="1"/>
    <n v="19"/>
    <n v="3"/>
    <x v="2"/>
    <n v="1"/>
    <n v="1285"/>
    <n v="3"/>
    <x v="0"/>
    <n v="46"/>
    <n v="3"/>
    <n v="2"/>
    <x v="2"/>
    <n v="2"/>
    <x v="2"/>
    <n v="4444"/>
    <n v="22534"/>
    <n v="4"/>
    <s v="Y"/>
    <x v="1"/>
    <n v="13"/>
    <n v="3"/>
    <n v="3"/>
    <n v="80"/>
    <n v="2"/>
    <n v="15"/>
    <n v="2"/>
    <n v="4"/>
    <x v="19"/>
    <m/>
    <n v="8"/>
    <n v="5"/>
    <n v="10"/>
  </r>
  <r>
    <n v="28"/>
    <x v="1"/>
    <x v="1"/>
    <n v="791"/>
    <x v="1"/>
    <n v="1"/>
    <n v="4"/>
    <x v="2"/>
    <n v="1"/>
    <n v="1286"/>
    <n v="4"/>
    <x v="1"/>
    <n v="44"/>
    <n v="3"/>
    <n v="1"/>
    <x v="2"/>
    <n v="3"/>
    <x v="0"/>
    <n v="2154"/>
    <n v="6842"/>
    <n v="0"/>
    <s v="Y"/>
    <x v="0"/>
    <n v="11"/>
    <n v="3"/>
    <n v="3"/>
    <n v="80"/>
    <n v="0"/>
    <n v="5"/>
    <n v="2"/>
    <n v="2"/>
    <x v="9"/>
    <m/>
    <n v="2"/>
    <n v="0"/>
    <n v="2"/>
  </r>
  <r>
    <n v="44"/>
    <x v="1"/>
    <x v="0"/>
    <n v="1199"/>
    <x v="1"/>
    <n v="4"/>
    <n v="2"/>
    <x v="0"/>
    <n v="1"/>
    <n v="1288"/>
    <n v="3"/>
    <x v="1"/>
    <n v="92"/>
    <n v="4"/>
    <n v="5"/>
    <x v="5"/>
    <n v="1"/>
    <x v="2"/>
    <n v="19190"/>
    <n v="17477"/>
    <n v="1"/>
    <s v="Y"/>
    <x v="1"/>
    <n v="14"/>
    <n v="3"/>
    <n v="4"/>
    <n v="80"/>
    <n v="2"/>
    <n v="26"/>
    <n v="4"/>
    <n v="2"/>
    <x v="10"/>
    <m/>
    <n v="9"/>
    <n v="14"/>
    <n v="13"/>
  </r>
  <r>
    <n v="34"/>
    <x v="1"/>
    <x v="1"/>
    <n v="648"/>
    <x v="2"/>
    <n v="11"/>
    <n v="3"/>
    <x v="0"/>
    <n v="1"/>
    <n v="1289"/>
    <n v="3"/>
    <x v="1"/>
    <n v="56"/>
    <n v="2"/>
    <n v="2"/>
    <x v="8"/>
    <n v="2"/>
    <x v="1"/>
    <n v="4490"/>
    <n v="21833"/>
    <n v="4"/>
    <s v="Y"/>
    <x v="1"/>
    <n v="11"/>
    <n v="3"/>
    <n v="4"/>
    <n v="80"/>
    <n v="2"/>
    <n v="14"/>
    <n v="5"/>
    <n v="4"/>
    <x v="1"/>
    <m/>
    <n v="9"/>
    <n v="1"/>
    <n v="8"/>
  </r>
  <r>
    <n v="35"/>
    <x v="1"/>
    <x v="0"/>
    <n v="735"/>
    <x v="1"/>
    <n v="6"/>
    <n v="1"/>
    <x v="0"/>
    <n v="1"/>
    <n v="1291"/>
    <n v="3"/>
    <x v="1"/>
    <n v="66"/>
    <n v="3"/>
    <n v="1"/>
    <x v="1"/>
    <n v="3"/>
    <x v="1"/>
    <n v="3506"/>
    <n v="6020"/>
    <n v="0"/>
    <s v="Y"/>
    <x v="0"/>
    <n v="14"/>
    <n v="3"/>
    <n v="4"/>
    <n v="80"/>
    <n v="0"/>
    <n v="4"/>
    <n v="3"/>
    <n v="3"/>
    <x v="11"/>
    <m/>
    <n v="2"/>
    <n v="2"/>
    <n v="2"/>
  </r>
  <r>
    <n v="42"/>
    <x v="1"/>
    <x v="0"/>
    <n v="603"/>
    <x v="1"/>
    <n v="7"/>
    <n v="4"/>
    <x v="2"/>
    <n v="1"/>
    <n v="1292"/>
    <n v="2"/>
    <x v="0"/>
    <n v="78"/>
    <n v="4"/>
    <n v="2"/>
    <x v="1"/>
    <n v="2"/>
    <x v="1"/>
    <n v="2372"/>
    <n v="5628"/>
    <n v="6"/>
    <s v="Y"/>
    <x v="0"/>
    <n v="16"/>
    <n v="3"/>
    <n v="4"/>
    <n v="80"/>
    <n v="0"/>
    <n v="18"/>
    <n v="2"/>
    <n v="3"/>
    <x v="6"/>
    <m/>
    <n v="0"/>
    <n v="0"/>
    <n v="0"/>
  </r>
  <r>
    <n v="43"/>
    <x v="1"/>
    <x v="0"/>
    <n v="531"/>
    <x v="0"/>
    <n v="4"/>
    <n v="4"/>
    <x v="3"/>
    <n v="1"/>
    <n v="1293"/>
    <n v="4"/>
    <x v="0"/>
    <n v="56"/>
    <n v="2"/>
    <n v="3"/>
    <x v="0"/>
    <n v="4"/>
    <x v="0"/>
    <n v="10231"/>
    <n v="20364"/>
    <n v="3"/>
    <s v="Y"/>
    <x v="1"/>
    <n v="14"/>
    <n v="3"/>
    <n v="4"/>
    <n v="80"/>
    <n v="0"/>
    <n v="23"/>
    <n v="3"/>
    <n v="4"/>
    <x v="17"/>
    <m/>
    <n v="7"/>
    <n v="15"/>
    <n v="17"/>
  </r>
  <r>
    <n v="36"/>
    <x v="1"/>
    <x v="0"/>
    <n v="429"/>
    <x v="1"/>
    <n v="2"/>
    <n v="4"/>
    <x v="0"/>
    <n v="1"/>
    <n v="1294"/>
    <n v="3"/>
    <x v="0"/>
    <n v="53"/>
    <n v="3"/>
    <n v="2"/>
    <x v="3"/>
    <n v="2"/>
    <x v="0"/>
    <n v="5410"/>
    <n v="2323"/>
    <n v="9"/>
    <s v="Y"/>
    <x v="0"/>
    <n v="11"/>
    <n v="3"/>
    <n v="4"/>
    <n v="80"/>
    <n v="0"/>
    <n v="18"/>
    <n v="2"/>
    <n v="3"/>
    <x v="22"/>
    <m/>
    <n v="14"/>
    <n v="5"/>
    <n v="12"/>
  </r>
  <r>
    <n v="44"/>
    <x v="0"/>
    <x v="0"/>
    <n v="621"/>
    <x v="1"/>
    <n v="15"/>
    <n v="3"/>
    <x v="2"/>
    <n v="1"/>
    <n v="1295"/>
    <n v="1"/>
    <x v="0"/>
    <n v="73"/>
    <n v="3"/>
    <n v="3"/>
    <x v="4"/>
    <n v="4"/>
    <x v="1"/>
    <n v="7978"/>
    <n v="14075"/>
    <n v="1"/>
    <s v="Y"/>
    <x v="1"/>
    <n v="11"/>
    <n v="3"/>
    <n v="4"/>
    <n v="80"/>
    <n v="1"/>
    <n v="10"/>
    <n v="2"/>
    <n v="3"/>
    <x v="1"/>
    <m/>
    <n v="7"/>
    <n v="0"/>
    <n v="5"/>
  </r>
  <r>
    <n v="28"/>
    <x v="1"/>
    <x v="1"/>
    <n v="193"/>
    <x v="1"/>
    <n v="2"/>
    <n v="3"/>
    <x v="0"/>
    <n v="1"/>
    <n v="1296"/>
    <n v="4"/>
    <x v="1"/>
    <n v="52"/>
    <n v="2"/>
    <n v="1"/>
    <x v="2"/>
    <n v="4"/>
    <x v="1"/>
    <n v="3867"/>
    <n v="14222"/>
    <n v="1"/>
    <s v="Y"/>
    <x v="0"/>
    <n v="12"/>
    <n v="3"/>
    <n v="2"/>
    <n v="80"/>
    <n v="1"/>
    <n v="2"/>
    <n v="2"/>
    <n v="3"/>
    <x v="4"/>
    <m/>
    <n v="2"/>
    <n v="2"/>
    <n v="2"/>
  </r>
  <r>
    <n v="51"/>
    <x v="1"/>
    <x v="1"/>
    <n v="968"/>
    <x v="1"/>
    <n v="6"/>
    <n v="2"/>
    <x v="2"/>
    <n v="1"/>
    <n v="1297"/>
    <n v="2"/>
    <x v="0"/>
    <n v="40"/>
    <n v="2"/>
    <n v="1"/>
    <x v="2"/>
    <n v="3"/>
    <x v="0"/>
    <n v="2838"/>
    <n v="4257"/>
    <n v="0"/>
    <s v="Y"/>
    <x v="1"/>
    <n v="14"/>
    <n v="3"/>
    <n v="2"/>
    <n v="80"/>
    <n v="0"/>
    <n v="8"/>
    <n v="6"/>
    <n v="2"/>
    <x v="5"/>
    <m/>
    <n v="0"/>
    <n v="7"/>
    <n v="7"/>
  </r>
  <r>
    <n v="30"/>
    <x v="1"/>
    <x v="2"/>
    <n v="879"/>
    <x v="1"/>
    <n v="9"/>
    <n v="2"/>
    <x v="2"/>
    <n v="1"/>
    <n v="1298"/>
    <n v="3"/>
    <x v="0"/>
    <n v="72"/>
    <n v="3"/>
    <n v="2"/>
    <x v="3"/>
    <n v="3"/>
    <x v="0"/>
    <n v="4695"/>
    <n v="12858"/>
    <n v="7"/>
    <s v="Y"/>
    <x v="0"/>
    <n v="18"/>
    <n v="3"/>
    <n v="3"/>
    <n v="80"/>
    <n v="0"/>
    <n v="10"/>
    <n v="3"/>
    <n v="3"/>
    <x v="3"/>
    <m/>
    <n v="4"/>
    <n v="1"/>
    <n v="7"/>
  </r>
  <r>
    <n v="29"/>
    <x v="0"/>
    <x v="0"/>
    <n v="806"/>
    <x v="1"/>
    <n v="7"/>
    <n v="3"/>
    <x v="4"/>
    <n v="1"/>
    <n v="1299"/>
    <n v="2"/>
    <x v="0"/>
    <n v="39"/>
    <n v="3"/>
    <n v="1"/>
    <x v="2"/>
    <n v="3"/>
    <x v="2"/>
    <n v="3339"/>
    <n v="17285"/>
    <n v="3"/>
    <s v="Y"/>
    <x v="0"/>
    <n v="13"/>
    <n v="3"/>
    <n v="1"/>
    <n v="80"/>
    <n v="2"/>
    <n v="10"/>
    <n v="2"/>
    <n v="3"/>
    <x v="5"/>
    <m/>
    <n v="7"/>
    <n v="7"/>
    <n v="7"/>
  </r>
  <r>
    <n v="28"/>
    <x v="1"/>
    <x v="0"/>
    <n v="640"/>
    <x v="1"/>
    <n v="1"/>
    <n v="3"/>
    <x v="4"/>
    <n v="1"/>
    <n v="1301"/>
    <n v="4"/>
    <x v="1"/>
    <n v="84"/>
    <n v="3"/>
    <n v="1"/>
    <x v="1"/>
    <n v="1"/>
    <x v="0"/>
    <n v="2080"/>
    <n v="4732"/>
    <n v="2"/>
    <s v="Y"/>
    <x v="1"/>
    <n v="11"/>
    <n v="3"/>
    <n v="2"/>
    <n v="80"/>
    <n v="0"/>
    <n v="5"/>
    <n v="2"/>
    <n v="2"/>
    <x v="11"/>
    <m/>
    <n v="2"/>
    <n v="1"/>
    <n v="2"/>
  </r>
  <r>
    <n v="25"/>
    <x v="1"/>
    <x v="0"/>
    <n v="266"/>
    <x v="1"/>
    <n v="1"/>
    <n v="3"/>
    <x v="2"/>
    <n v="1"/>
    <n v="1303"/>
    <n v="4"/>
    <x v="0"/>
    <n v="40"/>
    <n v="3"/>
    <n v="1"/>
    <x v="1"/>
    <n v="2"/>
    <x v="0"/>
    <n v="2096"/>
    <n v="18830"/>
    <n v="1"/>
    <s v="Y"/>
    <x v="1"/>
    <n v="18"/>
    <n v="3"/>
    <n v="4"/>
    <n v="80"/>
    <n v="0"/>
    <n v="2"/>
    <n v="3"/>
    <n v="2"/>
    <x v="4"/>
    <m/>
    <n v="2"/>
    <n v="2"/>
    <n v="1"/>
  </r>
  <r>
    <n v="32"/>
    <x v="1"/>
    <x v="0"/>
    <n v="604"/>
    <x v="0"/>
    <n v="8"/>
    <n v="3"/>
    <x v="2"/>
    <n v="1"/>
    <n v="1304"/>
    <n v="3"/>
    <x v="1"/>
    <n v="56"/>
    <n v="4"/>
    <n v="2"/>
    <x v="0"/>
    <n v="4"/>
    <x v="1"/>
    <n v="6209"/>
    <n v="11693"/>
    <n v="1"/>
    <s v="Y"/>
    <x v="1"/>
    <n v="15"/>
    <n v="3"/>
    <n v="3"/>
    <n v="80"/>
    <n v="2"/>
    <n v="10"/>
    <n v="4"/>
    <n v="4"/>
    <x v="1"/>
    <m/>
    <n v="7"/>
    <n v="0"/>
    <n v="8"/>
  </r>
  <r>
    <n v="45"/>
    <x v="1"/>
    <x v="1"/>
    <n v="364"/>
    <x v="1"/>
    <n v="25"/>
    <n v="3"/>
    <x v="2"/>
    <n v="1"/>
    <n v="1306"/>
    <n v="2"/>
    <x v="0"/>
    <n v="83"/>
    <n v="3"/>
    <n v="5"/>
    <x v="5"/>
    <n v="2"/>
    <x v="0"/>
    <n v="18061"/>
    <n v="13035"/>
    <n v="3"/>
    <s v="Y"/>
    <x v="1"/>
    <n v="22"/>
    <n v="4"/>
    <n v="3"/>
    <n v="80"/>
    <n v="0"/>
    <n v="22"/>
    <n v="4"/>
    <n v="3"/>
    <x v="2"/>
    <m/>
    <n v="0"/>
    <n v="0"/>
    <n v="0"/>
  </r>
  <r>
    <n v="39"/>
    <x v="1"/>
    <x v="0"/>
    <n v="412"/>
    <x v="1"/>
    <n v="13"/>
    <n v="4"/>
    <x v="2"/>
    <n v="1"/>
    <n v="1307"/>
    <n v="3"/>
    <x v="0"/>
    <n v="94"/>
    <n v="2"/>
    <n v="4"/>
    <x v="5"/>
    <n v="2"/>
    <x v="2"/>
    <n v="17123"/>
    <n v="17334"/>
    <n v="6"/>
    <s v="Y"/>
    <x v="0"/>
    <n v="13"/>
    <n v="3"/>
    <n v="4"/>
    <n v="80"/>
    <n v="2"/>
    <n v="21"/>
    <n v="4"/>
    <n v="3"/>
    <x v="27"/>
    <m/>
    <n v="9"/>
    <n v="15"/>
    <n v="2"/>
  </r>
  <r>
    <n v="58"/>
    <x v="1"/>
    <x v="0"/>
    <n v="848"/>
    <x v="1"/>
    <n v="23"/>
    <n v="4"/>
    <x v="0"/>
    <n v="1"/>
    <n v="1308"/>
    <n v="1"/>
    <x v="1"/>
    <n v="88"/>
    <n v="3"/>
    <n v="1"/>
    <x v="1"/>
    <n v="3"/>
    <x v="2"/>
    <n v="2372"/>
    <n v="26076"/>
    <n v="1"/>
    <s v="Y"/>
    <x v="1"/>
    <n v="12"/>
    <n v="3"/>
    <n v="4"/>
    <n v="80"/>
    <n v="2"/>
    <n v="2"/>
    <n v="3"/>
    <n v="3"/>
    <x v="4"/>
    <m/>
    <n v="2"/>
    <n v="2"/>
    <n v="2"/>
  </r>
  <r>
    <n v="32"/>
    <x v="0"/>
    <x v="0"/>
    <n v="1089"/>
    <x v="1"/>
    <n v="7"/>
    <n v="2"/>
    <x v="0"/>
    <n v="1"/>
    <n v="1309"/>
    <n v="4"/>
    <x v="1"/>
    <n v="79"/>
    <n v="3"/>
    <n v="2"/>
    <x v="2"/>
    <n v="3"/>
    <x v="1"/>
    <n v="4883"/>
    <n v="22845"/>
    <n v="1"/>
    <s v="Y"/>
    <x v="1"/>
    <n v="18"/>
    <n v="3"/>
    <n v="1"/>
    <n v="80"/>
    <n v="1"/>
    <n v="10"/>
    <n v="3"/>
    <n v="3"/>
    <x v="1"/>
    <m/>
    <n v="4"/>
    <n v="1"/>
    <n v="1"/>
  </r>
  <r>
    <n v="39"/>
    <x v="0"/>
    <x v="0"/>
    <n v="360"/>
    <x v="1"/>
    <n v="23"/>
    <n v="3"/>
    <x v="2"/>
    <n v="1"/>
    <n v="1310"/>
    <n v="3"/>
    <x v="1"/>
    <n v="93"/>
    <n v="3"/>
    <n v="1"/>
    <x v="1"/>
    <n v="1"/>
    <x v="0"/>
    <n v="3904"/>
    <n v="22154"/>
    <n v="0"/>
    <s v="Y"/>
    <x v="1"/>
    <n v="13"/>
    <n v="3"/>
    <n v="1"/>
    <n v="80"/>
    <n v="0"/>
    <n v="6"/>
    <n v="2"/>
    <n v="3"/>
    <x v="8"/>
    <m/>
    <n v="2"/>
    <n v="0"/>
    <n v="3"/>
  </r>
  <r>
    <n v="30"/>
    <x v="1"/>
    <x v="0"/>
    <n v="1138"/>
    <x v="1"/>
    <n v="6"/>
    <n v="3"/>
    <x v="4"/>
    <n v="1"/>
    <n v="1311"/>
    <n v="1"/>
    <x v="0"/>
    <n v="48"/>
    <n v="2"/>
    <n v="2"/>
    <x v="2"/>
    <n v="4"/>
    <x v="1"/>
    <n v="4627"/>
    <n v="23631"/>
    <n v="0"/>
    <s v="Y"/>
    <x v="1"/>
    <n v="12"/>
    <n v="3"/>
    <n v="1"/>
    <n v="80"/>
    <n v="1"/>
    <n v="10"/>
    <n v="6"/>
    <n v="3"/>
    <x v="7"/>
    <m/>
    <n v="2"/>
    <n v="6"/>
    <n v="7"/>
  </r>
  <r>
    <n v="36"/>
    <x v="1"/>
    <x v="0"/>
    <n v="325"/>
    <x v="1"/>
    <n v="10"/>
    <n v="4"/>
    <x v="4"/>
    <n v="1"/>
    <n v="1312"/>
    <n v="4"/>
    <x v="0"/>
    <n v="63"/>
    <n v="3"/>
    <n v="3"/>
    <x v="4"/>
    <n v="3"/>
    <x v="1"/>
    <n v="7094"/>
    <n v="5747"/>
    <n v="3"/>
    <s v="Y"/>
    <x v="1"/>
    <n v="12"/>
    <n v="3"/>
    <n v="1"/>
    <n v="80"/>
    <n v="0"/>
    <n v="10"/>
    <n v="0"/>
    <n v="3"/>
    <x v="5"/>
    <m/>
    <n v="7"/>
    <n v="1"/>
    <n v="7"/>
  </r>
  <r>
    <n v="46"/>
    <x v="1"/>
    <x v="0"/>
    <n v="991"/>
    <x v="2"/>
    <n v="1"/>
    <n v="2"/>
    <x v="0"/>
    <n v="1"/>
    <n v="1314"/>
    <n v="4"/>
    <x v="0"/>
    <n v="44"/>
    <n v="3"/>
    <n v="1"/>
    <x v="8"/>
    <n v="1"/>
    <x v="0"/>
    <n v="3423"/>
    <n v="22957"/>
    <n v="6"/>
    <s v="Y"/>
    <x v="1"/>
    <n v="12"/>
    <n v="3"/>
    <n v="3"/>
    <n v="80"/>
    <n v="0"/>
    <n v="10"/>
    <n v="3"/>
    <n v="4"/>
    <x v="5"/>
    <m/>
    <n v="6"/>
    <n v="5"/>
    <n v="7"/>
  </r>
  <r>
    <n v="28"/>
    <x v="1"/>
    <x v="2"/>
    <n v="1476"/>
    <x v="1"/>
    <n v="1"/>
    <n v="3"/>
    <x v="0"/>
    <n v="1"/>
    <n v="1315"/>
    <n v="3"/>
    <x v="0"/>
    <n v="55"/>
    <n v="1"/>
    <n v="2"/>
    <x v="2"/>
    <n v="4"/>
    <x v="1"/>
    <n v="6674"/>
    <n v="16392"/>
    <n v="0"/>
    <s v="Y"/>
    <x v="1"/>
    <n v="11"/>
    <n v="3"/>
    <n v="1"/>
    <n v="80"/>
    <n v="3"/>
    <n v="10"/>
    <n v="6"/>
    <n v="3"/>
    <x v="7"/>
    <m/>
    <n v="8"/>
    <n v="7"/>
    <n v="5"/>
  </r>
  <r>
    <n v="50"/>
    <x v="1"/>
    <x v="0"/>
    <n v="1322"/>
    <x v="1"/>
    <n v="28"/>
    <n v="3"/>
    <x v="0"/>
    <n v="1"/>
    <n v="1317"/>
    <n v="4"/>
    <x v="0"/>
    <n v="43"/>
    <n v="3"/>
    <n v="4"/>
    <x v="7"/>
    <n v="1"/>
    <x v="1"/>
    <n v="16880"/>
    <n v="22422"/>
    <n v="4"/>
    <s v="Y"/>
    <x v="0"/>
    <n v="11"/>
    <n v="3"/>
    <n v="2"/>
    <n v="80"/>
    <n v="0"/>
    <n v="25"/>
    <n v="2"/>
    <n v="3"/>
    <x v="11"/>
    <m/>
    <n v="2"/>
    <n v="1"/>
    <n v="2"/>
  </r>
  <r>
    <n v="40"/>
    <x v="0"/>
    <x v="0"/>
    <n v="299"/>
    <x v="0"/>
    <n v="25"/>
    <n v="4"/>
    <x v="3"/>
    <n v="1"/>
    <n v="1318"/>
    <n v="4"/>
    <x v="1"/>
    <n v="57"/>
    <n v="2"/>
    <n v="3"/>
    <x v="0"/>
    <n v="2"/>
    <x v="0"/>
    <n v="9094"/>
    <n v="17235"/>
    <n v="2"/>
    <s v="Y"/>
    <x v="0"/>
    <n v="12"/>
    <n v="3"/>
    <n v="3"/>
    <n v="80"/>
    <n v="0"/>
    <n v="9"/>
    <n v="2"/>
    <n v="3"/>
    <x v="8"/>
    <m/>
    <n v="4"/>
    <n v="1"/>
    <n v="0"/>
  </r>
  <r>
    <n v="52"/>
    <x v="0"/>
    <x v="0"/>
    <n v="1030"/>
    <x v="0"/>
    <n v="5"/>
    <n v="3"/>
    <x v="0"/>
    <n v="1"/>
    <n v="1319"/>
    <n v="2"/>
    <x v="1"/>
    <n v="64"/>
    <n v="3"/>
    <n v="3"/>
    <x v="0"/>
    <n v="2"/>
    <x v="0"/>
    <n v="8446"/>
    <n v="21534"/>
    <n v="9"/>
    <s v="Y"/>
    <x v="0"/>
    <n v="19"/>
    <n v="3"/>
    <n v="3"/>
    <n v="80"/>
    <n v="0"/>
    <n v="10"/>
    <n v="2"/>
    <n v="2"/>
    <x v="3"/>
    <m/>
    <n v="7"/>
    <n v="7"/>
    <n v="7"/>
  </r>
  <r>
    <n v="30"/>
    <x v="1"/>
    <x v="0"/>
    <n v="634"/>
    <x v="1"/>
    <n v="17"/>
    <n v="4"/>
    <x v="2"/>
    <n v="1"/>
    <n v="1321"/>
    <n v="2"/>
    <x v="0"/>
    <n v="95"/>
    <n v="3"/>
    <n v="3"/>
    <x v="5"/>
    <n v="1"/>
    <x v="1"/>
    <n v="11916"/>
    <n v="25927"/>
    <n v="1"/>
    <s v="Y"/>
    <x v="0"/>
    <n v="23"/>
    <n v="4"/>
    <n v="4"/>
    <n v="80"/>
    <n v="2"/>
    <n v="9"/>
    <n v="2"/>
    <n v="3"/>
    <x v="7"/>
    <m/>
    <n v="1"/>
    <n v="0"/>
    <n v="8"/>
  </r>
  <r>
    <n v="39"/>
    <x v="1"/>
    <x v="0"/>
    <n v="524"/>
    <x v="1"/>
    <n v="18"/>
    <n v="2"/>
    <x v="0"/>
    <n v="1"/>
    <n v="1322"/>
    <n v="1"/>
    <x v="1"/>
    <n v="32"/>
    <n v="3"/>
    <n v="2"/>
    <x v="3"/>
    <n v="3"/>
    <x v="0"/>
    <n v="4534"/>
    <n v="13352"/>
    <n v="0"/>
    <s v="Y"/>
    <x v="1"/>
    <n v="11"/>
    <n v="3"/>
    <n v="1"/>
    <n v="80"/>
    <n v="0"/>
    <n v="9"/>
    <n v="6"/>
    <n v="3"/>
    <x v="3"/>
    <m/>
    <n v="7"/>
    <n v="1"/>
    <n v="7"/>
  </r>
  <r>
    <n v="31"/>
    <x v="1"/>
    <x v="2"/>
    <n v="587"/>
    <x v="0"/>
    <n v="2"/>
    <n v="4"/>
    <x v="0"/>
    <n v="1"/>
    <n v="1324"/>
    <n v="4"/>
    <x v="0"/>
    <n v="57"/>
    <n v="3"/>
    <n v="3"/>
    <x v="0"/>
    <n v="3"/>
    <x v="2"/>
    <n v="9852"/>
    <n v="8935"/>
    <n v="1"/>
    <s v="Y"/>
    <x v="0"/>
    <n v="19"/>
    <n v="3"/>
    <n v="1"/>
    <n v="80"/>
    <n v="1"/>
    <n v="10"/>
    <n v="5"/>
    <n v="2"/>
    <x v="1"/>
    <m/>
    <n v="8"/>
    <n v="9"/>
    <n v="6"/>
  </r>
  <r>
    <n v="41"/>
    <x v="1"/>
    <x v="2"/>
    <n v="256"/>
    <x v="0"/>
    <n v="10"/>
    <n v="2"/>
    <x v="2"/>
    <n v="1"/>
    <n v="1329"/>
    <n v="3"/>
    <x v="1"/>
    <n v="40"/>
    <n v="1"/>
    <n v="2"/>
    <x v="0"/>
    <n v="2"/>
    <x v="0"/>
    <n v="6151"/>
    <n v="22074"/>
    <n v="1"/>
    <s v="Y"/>
    <x v="1"/>
    <n v="13"/>
    <n v="3"/>
    <n v="1"/>
    <n v="80"/>
    <n v="0"/>
    <n v="19"/>
    <n v="4"/>
    <n v="3"/>
    <x v="27"/>
    <m/>
    <n v="2"/>
    <n v="11"/>
    <n v="9"/>
  </r>
  <r>
    <n v="31"/>
    <x v="0"/>
    <x v="1"/>
    <n v="1060"/>
    <x v="0"/>
    <n v="1"/>
    <n v="3"/>
    <x v="0"/>
    <n v="1"/>
    <n v="1331"/>
    <n v="4"/>
    <x v="0"/>
    <n v="54"/>
    <n v="3"/>
    <n v="1"/>
    <x v="6"/>
    <n v="2"/>
    <x v="0"/>
    <n v="2302"/>
    <n v="8319"/>
    <n v="1"/>
    <s v="Y"/>
    <x v="0"/>
    <n v="11"/>
    <n v="3"/>
    <n v="1"/>
    <n v="80"/>
    <n v="0"/>
    <n v="3"/>
    <n v="2"/>
    <n v="4"/>
    <x v="11"/>
    <m/>
    <n v="2"/>
    <n v="2"/>
    <n v="2"/>
  </r>
  <r>
    <n v="44"/>
    <x v="0"/>
    <x v="0"/>
    <n v="935"/>
    <x v="1"/>
    <n v="3"/>
    <n v="3"/>
    <x v="0"/>
    <n v="1"/>
    <n v="1333"/>
    <n v="1"/>
    <x v="1"/>
    <n v="89"/>
    <n v="3"/>
    <n v="1"/>
    <x v="2"/>
    <n v="1"/>
    <x v="1"/>
    <n v="2362"/>
    <n v="14669"/>
    <n v="4"/>
    <s v="Y"/>
    <x v="1"/>
    <n v="12"/>
    <n v="3"/>
    <n v="3"/>
    <n v="80"/>
    <n v="0"/>
    <n v="10"/>
    <n v="4"/>
    <n v="4"/>
    <x v="11"/>
    <m/>
    <n v="2"/>
    <n v="1"/>
    <n v="2"/>
  </r>
  <r>
    <n v="42"/>
    <x v="1"/>
    <x v="2"/>
    <n v="495"/>
    <x v="1"/>
    <n v="2"/>
    <n v="1"/>
    <x v="0"/>
    <n v="1"/>
    <n v="1334"/>
    <n v="3"/>
    <x v="1"/>
    <n v="37"/>
    <n v="3"/>
    <n v="4"/>
    <x v="5"/>
    <n v="3"/>
    <x v="1"/>
    <n v="17861"/>
    <n v="26582"/>
    <n v="0"/>
    <s v="Y"/>
    <x v="0"/>
    <n v="13"/>
    <n v="3"/>
    <n v="4"/>
    <n v="80"/>
    <n v="0"/>
    <n v="21"/>
    <n v="3"/>
    <n v="2"/>
    <x v="23"/>
    <m/>
    <n v="8"/>
    <n v="2"/>
    <n v="10"/>
  </r>
  <r>
    <n v="55"/>
    <x v="1"/>
    <x v="0"/>
    <n v="282"/>
    <x v="1"/>
    <n v="2"/>
    <n v="2"/>
    <x v="2"/>
    <n v="1"/>
    <n v="1336"/>
    <n v="4"/>
    <x v="0"/>
    <n v="58"/>
    <n v="1"/>
    <n v="5"/>
    <x v="5"/>
    <n v="3"/>
    <x v="1"/>
    <n v="19187"/>
    <n v="6992"/>
    <n v="4"/>
    <s v="Y"/>
    <x v="1"/>
    <n v="14"/>
    <n v="3"/>
    <n v="4"/>
    <n v="80"/>
    <n v="1"/>
    <n v="23"/>
    <n v="5"/>
    <n v="3"/>
    <x v="27"/>
    <m/>
    <n v="9"/>
    <n v="9"/>
    <n v="11"/>
  </r>
  <r>
    <n v="56"/>
    <x v="1"/>
    <x v="0"/>
    <n v="206"/>
    <x v="2"/>
    <n v="8"/>
    <n v="4"/>
    <x v="0"/>
    <n v="1"/>
    <n v="1338"/>
    <n v="4"/>
    <x v="1"/>
    <n v="99"/>
    <n v="3"/>
    <n v="5"/>
    <x v="5"/>
    <n v="2"/>
    <x v="0"/>
    <n v="19717"/>
    <n v="4022"/>
    <n v="6"/>
    <s v="Y"/>
    <x v="1"/>
    <n v="14"/>
    <n v="3"/>
    <n v="1"/>
    <n v="80"/>
    <n v="0"/>
    <n v="36"/>
    <n v="4"/>
    <n v="3"/>
    <x v="5"/>
    <m/>
    <n v="3"/>
    <n v="7"/>
    <n v="7"/>
  </r>
  <r>
    <n v="40"/>
    <x v="1"/>
    <x v="2"/>
    <n v="458"/>
    <x v="1"/>
    <n v="16"/>
    <n v="2"/>
    <x v="0"/>
    <n v="1"/>
    <n v="1340"/>
    <n v="3"/>
    <x v="1"/>
    <n v="74"/>
    <n v="3"/>
    <n v="1"/>
    <x v="1"/>
    <n v="3"/>
    <x v="2"/>
    <n v="3544"/>
    <n v="8532"/>
    <n v="9"/>
    <s v="Y"/>
    <x v="1"/>
    <n v="16"/>
    <n v="3"/>
    <n v="2"/>
    <n v="80"/>
    <n v="1"/>
    <n v="6"/>
    <n v="0"/>
    <n v="3"/>
    <x v="9"/>
    <m/>
    <n v="2"/>
    <n v="0"/>
    <n v="0"/>
  </r>
  <r>
    <n v="34"/>
    <x v="1"/>
    <x v="0"/>
    <n v="943"/>
    <x v="1"/>
    <n v="9"/>
    <n v="3"/>
    <x v="0"/>
    <n v="1"/>
    <n v="1344"/>
    <n v="4"/>
    <x v="1"/>
    <n v="86"/>
    <n v="3"/>
    <n v="3"/>
    <x v="4"/>
    <n v="4"/>
    <x v="2"/>
    <n v="8500"/>
    <n v="5494"/>
    <n v="0"/>
    <s v="Y"/>
    <x v="1"/>
    <n v="11"/>
    <n v="3"/>
    <n v="4"/>
    <n v="80"/>
    <n v="1"/>
    <n v="10"/>
    <n v="0"/>
    <n v="2"/>
    <x v="7"/>
    <m/>
    <n v="7"/>
    <n v="1"/>
    <n v="6"/>
  </r>
  <r>
    <n v="40"/>
    <x v="1"/>
    <x v="0"/>
    <n v="523"/>
    <x v="1"/>
    <n v="2"/>
    <n v="3"/>
    <x v="0"/>
    <n v="1"/>
    <n v="1346"/>
    <n v="3"/>
    <x v="1"/>
    <n v="98"/>
    <n v="3"/>
    <n v="2"/>
    <x v="1"/>
    <n v="4"/>
    <x v="0"/>
    <n v="4661"/>
    <n v="22455"/>
    <n v="1"/>
    <s v="Y"/>
    <x v="1"/>
    <n v="13"/>
    <n v="3"/>
    <n v="3"/>
    <n v="80"/>
    <n v="0"/>
    <n v="9"/>
    <n v="4"/>
    <n v="3"/>
    <x v="7"/>
    <m/>
    <n v="8"/>
    <n v="8"/>
    <n v="8"/>
  </r>
  <r>
    <n v="41"/>
    <x v="1"/>
    <x v="1"/>
    <n v="1018"/>
    <x v="0"/>
    <n v="1"/>
    <n v="3"/>
    <x v="3"/>
    <n v="1"/>
    <n v="1349"/>
    <n v="3"/>
    <x v="0"/>
    <n v="66"/>
    <n v="3"/>
    <n v="2"/>
    <x v="0"/>
    <n v="1"/>
    <x v="2"/>
    <n v="4103"/>
    <n v="4297"/>
    <n v="0"/>
    <s v="Y"/>
    <x v="1"/>
    <n v="17"/>
    <n v="3"/>
    <n v="4"/>
    <n v="80"/>
    <n v="1"/>
    <n v="10"/>
    <n v="2"/>
    <n v="3"/>
    <x v="7"/>
    <m/>
    <n v="3"/>
    <n v="1"/>
    <n v="7"/>
  </r>
  <r>
    <n v="35"/>
    <x v="1"/>
    <x v="1"/>
    <n v="482"/>
    <x v="1"/>
    <n v="4"/>
    <n v="4"/>
    <x v="0"/>
    <n v="1"/>
    <n v="1350"/>
    <n v="3"/>
    <x v="1"/>
    <n v="87"/>
    <n v="3"/>
    <n v="2"/>
    <x v="1"/>
    <n v="3"/>
    <x v="0"/>
    <n v="4249"/>
    <n v="2690"/>
    <n v="1"/>
    <s v="Y"/>
    <x v="0"/>
    <n v="11"/>
    <n v="3"/>
    <n v="2"/>
    <n v="80"/>
    <n v="0"/>
    <n v="9"/>
    <n v="3"/>
    <n v="3"/>
    <x v="7"/>
    <m/>
    <n v="6"/>
    <n v="1"/>
    <n v="1"/>
  </r>
  <r>
    <n v="51"/>
    <x v="1"/>
    <x v="0"/>
    <n v="770"/>
    <x v="2"/>
    <n v="5"/>
    <n v="3"/>
    <x v="0"/>
    <n v="1"/>
    <n v="1352"/>
    <n v="3"/>
    <x v="1"/>
    <n v="84"/>
    <n v="3"/>
    <n v="4"/>
    <x v="5"/>
    <n v="2"/>
    <x v="2"/>
    <n v="14026"/>
    <n v="17588"/>
    <n v="1"/>
    <s v="Y"/>
    <x v="0"/>
    <n v="11"/>
    <n v="3"/>
    <n v="2"/>
    <n v="80"/>
    <n v="1"/>
    <n v="33"/>
    <n v="2"/>
    <n v="3"/>
    <x v="26"/>
    <m/>
    <n v="9"/>
    <n v="0"/>
    <n v="10"/>
  </r>
  <r>
    <n v="38"/>
    <x v="1"/>
    <x v="0"/>
    <n v="1009"/>
    <x v="0"/>
    <n v="2"/>
    <n v="2"/>
    <x v="0"/>
    <n v="1"/>
    <n v="1355"/>
    <n v="2"/>
    <x v="0"/>
    <n v="31"/>
    <n v="3"/>
    <n v="2"/>
    <x v="0"/>
    <n v="1"/>
    <x v="2"/>
    <n v="6893"/>
    <n v="19461"/>
    <n v="3"/>
    <s v="Y"/>
    <x v="1"/>
    <n v="15"/>
    <n v="3"/>
    <n v="4"/>
    <n v="80"/>
    <n v="1"/>
    <n v="11"/>
    <n v="3"/>
    <n v="3"/>
    <x v="5"/>
    <m/>
    <n v="7"/>
    <n v="1"/>
    <n v="7"/>
  </r>
  <r>
    <n v="34"/>
    <x v="1"/>
    <x v="0"/>
    <n v="507"/>
    <x v="0"/>
    <n v="15"/>
    <n v="2"/>
    <x v="2"/>
    <n v="1"/>
    <n v="1356"/>
    <n v="3"/>
    <x v="0"/>
    <n v="66"/>
    <n v="3"/>
    <n v="2"/>
    <x v="0"/>
    <n v="1"/>
    <x v="0"/>
    <n v="6125"/>
    <n v="23553"/>
    <n v="1"/>
    <s v="Y"/>
    <x v="1"/>
    <n v="12"/>
    <n v="3"/>
    <n v="4"/>
    <n v="80"/>
    <n v="0"/>
    <n v="10"/>
    <n v="6"/>
    <n v="4"/>
    <x v="1"/>
    <m/>
    <n v="8"/>
    <n v="9"/>
    <n v="6"/>
  </r>
  <r>
    <n v="25"/>
    <x v="1"/>
    <x v="0"/>
    <n v="882"/>
    <x v="1"/>
    <n v="19"/>
    <n v="1"/>
    <x v="2"/>
    <n v="1"/>
    <n v="1358"/>
    <n v="4"/>
    <x v="1"/>
    <n v="67"/>
    <n v="3"/>
    <n v="1"/>
    <x v="2"/>
    <n v="4"/>
    <x v="1"/>
    <n v="3669"/>
    <n v="9075"/>
    <n v="3"/>
    <s v="Y"/>
    <x v="1"/>
    <n v="11"/>
    <n v="3"/>
    <n v="3"/>
    <n v="80"/>
    <n v="3"/>
    <n v="7"/>
    <n v="6"/>
    <n v="2"/>
    <x v="11"/>
    <m/>
    <n v="2"/>
    <n v="1"/>
    <n v="2"/>
  </r>
  <r>
    <n v="58"/>
    <x v="0"/>
    <x v="0"/>
    <n v="601"/>
    <x v="1"/>
    <n v="7"/>
    <n v="4"/>
    <x v="2"/>
    <n v="1"/>
    <n v="1360"/>
    <n v="3"/>
    <x v="0"/>
    <n v="53"/>
    <n v="2"/>
    <n v="3"/>
    <x v="3"/>
    <n v="1"/>
    <x v="1"/>
    <n v="10008"/>
    <n v="12023"/>
    <n v="7"/>
    <s v="Y"/>
    <x v="0"/>
    <n v="14"/>
    <n v="3"/>
    <n v="4"/>
    <n v="80"/>
    <n v="0"/>
    <n v="31"/>
    <n v="0"/>
    <n v="2"/>
    <x v="1"/>
    <m/>
    <n v="9"/>
    <n v="5"/>
    <n v="9"/>
  </r>
  <r>
    <n v="40"/>
    <x v="1"/>
    <x v="0"/>
    <n v="329"/>
    <x v="1"/>
    <n v="1"/>
    <n v="4"/>
    <x v="0"/>
    <n v="1"/>
    <n v="1361"/>
    <n v="2"/>
    <x v="1"/>
    <n v="88"/>
    <n v="3"/>
    <n v="1"/>
    <x v="2"/>
    <n v="2"/>
    <x v="1"/>
    <n v="2387"/>
    <n v="6762"/>
    <n v="3"/>
    <s v="Y"/>
    <x v="1"/>
    <n v="22"/>
    <n v="4"/>
    <n v="3"/>
    <n v="80"/>
    <n v="1"/>
    <n v="7"/>
    <n v="3"/>
    <n v="3"/>
    <x v="9"/>
    <m/>
    <n v="2"/>
    <n v="0"/>
    <n v="3"/>
  </r>
  <r>
    <n v="36"/>
    <x v="1"/>
    <x v="1"/>
    <n v="607"/>
    <x v="0"/>
    <n v="7"/>
    <n v="3"/>
    <x v="3"/>
    <n v="1"/>
    <n v="1362"/>
    <n v="1"/>
    <x v="0"/>
    <n v="83"/>
    <n v="4"/>
    <n v="2"/>
    <x v="0"/>
    <n v="1"/>
    <x v="1"/>
    <n v="4639"/>
    <n v="2261"/>
    <n v="2"/>
    <s v="Y"/>
    <x v="1"/>
    <n v="16"/>
    <n v="3"/>
    <n v="4"/>
    <n v="80"/>
    <n v="1"/>
    <n v="17"/>
    <n v="2"/>
    <n v="2"/>
    <x v="15"/>
    <m/>
    <n v="7"/>
    <n v="6"/>
    <n v="13"/>
  </r>
  <r>
    <n v="48"/>
    <x v="1"/>
    <x v="0"/>
    <n v="855"/>
    <x v="1"/>
    <n v="4"/>
    <n v="3"/>
    <x v="0"/>
    <n v="1"/>
    <n v="1363"/>
    <n v="4"/>
    <x v="1"/>
    <n v="54"/>
    <n v="3"/>
    <n v="3"/>
    <x v="3"/>
    <n v="4"/>
    <x v="0"/>
    <n v="7898"/>
    <n v="18706"/>
    <n v="1"/>
    <s v="Y"/>
    <x v="1"/>
    <n v="11"/>
    <n v="3"/>
    <n v="3"/>
    <n v="80"/>
    <n v="0"/>
    <n v="11"/>
    <n v="2"/>
    <n v="3"/>
    <x v="1"/>
    <m/>
    <n v="9"/>
    <n v="0"/>
    <n v="8"/>
  </r>
  <r>
    <n v="27"/>
    <x v="1"/>
    <x v="0"/>
    <n v="1291"/>
    <x v="0"/>
    <n v="11"/>
    <n v="3"/>
    <x v="2"/>
    <n v="1"/>
    <n v="1364"/>
    <n v="3"/>
    <x v="0"/>
    <n v="98"/>
    <n v="4"/>
    <n v="1"/>
    <x v="6"/>
    <n v="4"/>
    <x v="1"/>
    <n v="2534"/>
    <n v="6527"/>
    <n v="8"/>
    <s v="Y"/>
    <x v="1"/>
    <n v="14"/>
    <n v="3"/>
    <n v="2"/>
    <n v="80"/>
    <n v="1"/>
    <n v="5"/>
    <n v="4"/>
    <n v="3"/>
    <x v="6"/>
    <m/>
    <n v="0"/>
    <n v="0"/>
    <n v="0"/>
  </r>
  <r>
    <n v="51"/>
    <x v="1"/>
    <x v="0"/>
    <n v="1405"/>
    <x v="1"/>
    <n v="11"/>
    <n v="2"/>
    <x v="4"/>
    <n v="1"/>
    <n v="1367"/>
    <n v="4"/>
    <x v="0"/>
    <n v="82"/>
    <n v="2"/>
    <n v="4"/>
    <x v="3"/>
    <n v="2"/>
    <x v="0"/>
    <n v="13142"/>
    <n v="24439"/>
    <n v="3"/>
    <s v="Y"/>
    <x v="1"/>
    <n v="16"/>
    <n v="3"/>
    <n v="2"/>
    <n v="80"/>
    <n v="0"/>
    <n v="29"/>
    <n v="1"/>
    <n v="2"/>
    <x v="8"/>
    <m/>
    <n v="2"/>
    <n v="0"/>
    <n v="3"/>
  </r>
  <r>
    <n v="18"/>
    <x v="1"/>
    <x v="2"/>
    <n v="1124"/>
    <x v="1"/>
    <n v="1"/>
    <n v="3"/>
    <x v="0"/>
    <n v="1"/>
    <n v="1368"/>
    <n v="4"/>
    <x v="0"/>
    <n v="97"/>
    <n v="3"/>
    <n v="1"/>
    <x v="2"/>
    <n v="4"/>
    <x v="0"/>
    <n v="1611"/>
    <n v="19305"/>
    <n v="1"/>
    <s v="Y"/>
    <x v="1"/>
    <n v="15"/>
    <n v="3"/>
    <n v="3"/>
    <n v="80"/>
    <n v="0"/>
    <n v="0"/>
    <n v="5"/>
    <n v="4"/>
    <x v="2"/>
    <m/>
    <n v="0"/>
    <n v="0"/>
    <n v="0"/>
  </r>
  <r>
    <n v="35"/>
    <x v="1"/>
    <x v="0"/>
    <n v="817"/>
    <x v="1"/>
    <n v="1"/>
    <n v="3"/>
    <x v="2"/>
    <n v="1"/>
    <n v="1369"/>
    <n v="4"/>
    <x v="0"/>
    <n v="60"/>
    <n v="2"/>
    <n v="2"/>
    <x v="2"/>
    <n v="4"/>
    <x v="1"/>
    <n v="5363"/>
    <n v="10846"/>
    <n v="0"/>
    <s v="Y"/>
    <x v="1"/>
    <n v="12"/>
    <n v="3"/>
    <n v="2"/>
    <n v="80"/>
    <n v="1"/>
    <n v="10"/>
    <n v="0"/>
    <n v="3"/>
    <x v="7"/>
    <m/>
    <n v="7"/>
    <n v="0"/>
    <n v="0"/>
  </r>
  <r>
    <n v="27"/>
    <x v="1"/>
    <x v="1"/>
    <n v="793"/>
    <x v="0"/>
    <n v="2"/>
    <n v="1"/>
    <x v="0"/>
    <n v="1"/>
    <n v="1371"/>
    <n v="4"/>
    <x v="1"/>
    <n v="43"/>
    <n v="1"/>
    <n v="2"/>
    <x v="0"/>
    <n v="4"/>
    <x v="0"/>
    <n v="5071"/>
    <n v="20392"/>
    <n v="3"/>
    <s v="Y"/>
    <x v="1"/>
    <n v="20"/>
    <n v="4"/>
    <n v="2"/>
    <n v="80"/>
    <n v="0"/>
    <n v="8"/>
    <n v="3"/>
    <n v="3"/>
    <x v="0"/>
    <m/>
    <n v="2"/>
    <n v="0"/>
    <n v="0"/>
  </r>
  <r>
    <n v="55"/>
    <x v="0"/>
    <x v="0"/>
    <n v="267"/>
    <x v="0"/>
    <n v="13"/>
    <n v="4"/>
    <x v="3"/>
    <n v="1"/>
    <n v="1372"/>
    <n v="1"/>
    <x v="1"/>
    <n v="85"/>
    <n v="4"/>
    <n v="4"/>
    <x v="0"/>
    <n v="3"/>
    <x v="0"/>
    <n v="13695"/>
    <n v="9277"/>
    <n v="6"/>
    <s v="Y"/>
    <x v="0"/>
    <n v="17"/>
    <n v="3"/>
    <n v="3"/>
    <n v="80"/>
    <n v="0"/>
    <n v="24"/>
    <n v="2"/>
    <n v="2"/>
    <x v="27"/>
    <m/>
    <n v="7"/>
    <n v="3"/>
    <n v="8"/>
  </r>
  <r>
    <n v="56"/>
    <x v="1"/>
    <x v="0"/>
    <n v="1369"/>
    <x v="1"/>
    <n v="23"/>
    <n v="3"/>
    <x v="0"/>
    <n v="1"/>
    <n v="1373"/>
    <n v="4"/>
    <x v="1"/>
    <n v="68"/>
    <n v="3"/>
    <n v="4"/>
    <x v="3"/>
    <n v="2"/>
    <x v="1"/>
    <n v="13402"/>
    <n v="18235"/>
    <n v="4"/>
    <s v="Y"/>
    <x v="0"/>
    <n v="12"/>
    <n v="3"/>
    <n v="1"/>
    <n v="80"/>
    <n v="1"/>
    <n v="33"/>
    <n v="0"/>
    <n v="3"/>
    <x v="27"/>
    <m/>
    <n v="16"/>
    <n v="15"/>
    <n v="9"/>
  </r>
  <r>
    <n v="34"/>
    <x v="1"/>
    <x v="2"/>
    <n v="999"/>
    <x v="1"/>
    <n v="26"/>
    <n v="1"/>
    <x v="4"/>
    <n v="1"/>
    <n v="1374"/>
    <n v="1"/>
    <x v="0"/>
    <n v="92"/>
    <n v="2"/>
    <n v="1"/>
    <x v="1"/>
    <n v="3"/>
    <x v="2"/>
    <n v="2029"/>
    <n v="15891"/>
    <n v="1"/>
    <s v="Y"/>
    <x v="1"/>
    <n v="20"/>
    <n v="4"/>
    <n v="3"/>
    <n v="80"/>
    <n v="3"/>
    <n v="5"/>
    <n v="2"/>
    <n v="3"/>
    <x v="8"/>
    <m/>
    <n v="4"/>
    <n v="0"/>
    <n v="0"/>
  </r>
  <r>
    <n v="40"/>
    <x v="1"/>
    <x v="0"/>
    <n v="1202"/>
    <x v="1"/>
    <n v="2"/>
    <n v="1"/>
    <x v="2"/>
    <n v="1"/>
    <n v="1375"/>
    <n v="2"/>
    <x v="0"/>
    <n v="89"/>
    <n v="4"/>
    <n v="2"/>
    <x v="4"/>
    <n v="3"/>
    <x v="2"/>
    <n v="6377"/>
    <n v="13888"/>
    <n v="5"/>
    <s v="Y"/>
    <x v="1"/>
    <n v="20"/>
    <n v="4"/>
    <n v="2"/>
    <n v="80"/>
    <n v="3"/>
    <n v="15"/>
    <n v="0"/>
    <n v="3"/>
    <x v="12"/>
    <m/>
    <n v="11"/>
    <n v="11"/>
    <n v="8"/>
  </r>
  <r>
    <n v="34"/>
    <x v="1"/>
    <x v="0"/>
    <n v="285"/>
    <x v="1"/>
    <n v="29"/>
    <n v="3"/>
    <x v="2"/>
    <n v="1"/>
    <n v="1377"/>
    <n v="2"/>
    <x v="1"/>
    <n v="86"/>
    <n v="3"/>
    <n v="2"/>
    <x v="2"/>
    <n v="3"/>
    <x v="1"/>
    <n v="5429"/>
    <n v="17491"/>
    <n v="4"/>
    <s v="Y"/>
    <x v="1"/>
    <n v="13"/>
    <n v="3"/>
    <n v="1"/>
    <n v="80"/>
    <n v="2"/>
    <n v="10"/>
    <n v="1"/>
    <n v="3"/>
    <x v="3"/>
    <m/>
    <n v="7"/>
    <n v="7"/>
    <n v="7"/>
  </r>
  <r>
    <n v="31"/>
    <x v="0"/>
    <x v="1"/>
    <n v="703"/>
    <x v="0"/>
    <n v="2"/>
    <n v="3"/>
    <x v="0"/>
    <n v="1"/>
    <n v="1379"/>
    <n v="3"/>
    <x v="0"/>
    <n v="90"/>
    <n v="2"/>
    <n v="1"/>
    <x v="6"/>
    <n v="4"/>
    <x v="0"/>
    <n v="2785"/>
    <n v="11882"/>
    <n v="7"/>
    <s v="Y"/>
    <x v="1"/>
    <n v="14"/>
    <n v="3"/>
    <n v="3"/>
    <n v="80"/>
    <n v="0"/>
    <n v="3"/>
    <n v="3"/>
    <n v="4"/>
    <x v="6"/>
    <m/>
    <n v="0"/>
    <n v="0"/>
    <n v="0"/>
  </r>
  <r>
    <n v="35"/>
    <x v="0"/>
    <x v="1"/>
    <n v="662"/>
    <x v="0"/>
    <n v="18"/>
    <n v="4"/>
    <x v="3"/>
    <n v="1"/>
    <n v="1380"/>
    <n v="4"/>
    <x v="0"/>
    <n v="67"/>
    <n v="3"/>
    <n v="2"/>
    <x v="0"/>
    <n v="3"/>
    <x v="1"/>
    <n v="4614"/>
    <n v="23288"/>
    <n v="0"/>
    <s v="Y"/>
    <x v="0"/>
    <n v="18"/>
    <n v="3"/>
    <n v="3"/>
    <n v="80"/>
    <n v="1"/>
    <n v="5"/>
    <n v="0"/>
    <n v="2"/>
    <x v="9"/>
    <m/>
    <n v="2"/>
    <n v="3"/>
    <n v="2"/>
  </r>
  <r>
    <n v="38"/>
    <x v="1"/>
    <x v="1"/>
    <n v="693"/>
    <x v="1"/>
    <n v="7"/>
    <n v="3"/>
    <x v="0"/>
    <n v="1"/>
    <n v="1382"/>
    <n v="4"/>
    <x v="1"/>
    <n v="57"/>
    <n v="4"/>
    <n v="1"/>
    <x v="1"/>
    <n v="3"/>
    <x v="2"/>
    <n v="2610"/>
    <n v="15748"/>
    <n v="1"/>
    <s v="Y"/>
    <x v="1"/>
    <n v="11"/>
    <n v="3"/>
    <n v="4"/>
    <n v="80"/>
    <n v="3"/>
    <n v="4"/>
    <n v="2"/>
    <n v="3"/>
    <x v="9"/>
    <m/>
    <n v="2"/>
    <n v="0"/>
    <n v="3"/>
  </r>
  <r>
    <n v="34"/>
    <x v="1"/>
    <x v="0"/>
    <n v="404"/>
    <x v="1"/>
    <n v="2"/>
    <n v="4"/>
    <x v="4"/>
    <n v="1"/>
    <n v="1383"/>
    <n v="3"/>
    <x v="0"/>
    <n v="98"/>
    <n v="3"/>
    <n v="2"/>
    <x v="4"/>
    <n v="4"/>
    <x v="0"/>
    <n v="6687"/>
    <n v="6163"/>
    <n v="1"/>
    <s v="Y"/>
    <x v="1"/>
    <n v="11"/>
    <n v="3"/>
    <n v="4"/>
    <n v="80"/>
    <n v="0"/>
    <n v="14"/>
    <n v="2"/>
    <n v="4"/>
    <x v="13"/>
    <m/>
    <n v="11"/>
    <n v="4"/>
    <n v="11"/>
  </r>
  <r>
    <n v="28"/>
    <x v="1"/>
    <x v="0"/>
    <n v="736"/>
    <x v="0"/>
    <n v="26"/>
    <n v="3"/>
    <x v="0"/>
    <n v="1"/>
    <n v="1387"/>
    <n v="3"/>
    <x v="1"/>
    <n v="48"/>
    <n v="2"/>
    <n v="2"/>
    <x v="0"/>
    <n v="1"/>
    <x v="1"/>
    <n v="4724"/>
    <n v="24232"/>
    <n v="1"/>
    <s v="Y"/>
    <x v="1"/>
    <n v="11"/>
    <n v="3"/>
    <n v="3"/>
    <n v="80"/>
    <n v="1"/>
    <n v="5"/>
    <n v="0"/>
    <n v="3"/>
    <x v="8"/>
    <m/>
    <n v="3"/>
    <n v="0"/>
    <n v="4"/>
  </r>
  <r>
    <n v="31"/>
    <x v="0"/>
    <x v="0"/>
    <n v="330"/>
    <x v="1"/>
    <n v="22"/>
    <n v="4"/>
    <x v="2"/>
    <n v="1"/>
    <n v="1389"/>
    <n v="4"/>
    <x v="1"/>
    <n v="98"/>
    <n v="3"/>
    <n v="2"/>
    <x v="3"/>
    <n v="3"/>
    <x v="1"/>
    <n v="6179"/>
    <n v="21057"/>
    <n v="1"/>
    <s v="Y"/>
    <x v="0"/>
    <n v="15"/>
    <n v="3"/>
    <n v="4"/>
    <n v="80"/>
    <n v="2"/>
    <n v="10"/>
    <n v="3"/>
    <n v="2"/>
    <x v="1"/>
    <m/>
    <n v="2"/>
    <n v="6"/>
    <n v="7"/>
  </r>
  <r>
    <n v="39"/>
    <x v="1"/>
    <x v="0"/>
    <n v="1498"/>
    <x v="0"/>
    <n v="21"/>
    <n v="4"/>
    <x v="0"/>
    <n v="1"/>
    <n v="1390"/>
    <n v="1"/>
    <x v="1"/>
    <n v="44"/>
    <n v="2"/>
    <n v="2"/>
    <x v="0"/>
    <n v="4"/>
    <x v="1"/>
    <n v="6120"/>
    <n v="3567"/>
    <n v="3"/>
    <s v="Y"/>
    <x v="0"/>
    <n v="12"/>
    <n v="3"/>
    <n v="4"/>
    <n v="80"/>
    <n v="2"/>
    <n v="8"/>
    <n v="2"/>
    <n v="4"/>
    <x v="8"/>
    <m/>
    <n v="4"/>
    <n v="1"/>
    <n v="4"/>
  </r>
  <r>
    <n v="51"/>
    <x v="1"/>
    <x v="1"/>
    <n v="541"/>
    <x v="0"/>
    <n v="2"/>
    <n v="3"/>
    <x v="3"/>
    <n v="1"/>
    <n v="1391"/>
    <n v="2"/>
    <x v="1"/>
    <n v="52"/>
    <n v="3"/>
    <n v="3"/>
    <x v="0"/>
    <n v="2"/>
    <x v="1"/>
    <n v="10596"/>
    <n v="15395"/>
    <n v="2"/>
    <s v="Y"/>
    <x v="1"/>
    <n v="11"/>
    <n v="3"/>
    <n v="2"/>
    <n v="80"/>
    <n v="0"/>
    <n v="14"/>
    <n v="5"/>
    <n v="3"/>
    <x v="9"/>
    <m/>
    <n v="2"/>
    <n v="3"/>
    <n v="2"/>
  </r>
  <r>
    <n v="41"/>
    <x v="1"/>
    <x v="1"/>
    <n v="1200"/>
    <x v="1"/>
    <n v="22"/>
    <n v="3"/>
    <x v="0"/>
    <n v="1"/>
    <n v="1392"/>
    <n v="4"/>
    <x v="0"/>
    <n v="75"/>
    <n v="3"/>
    <n v="2"/>
    <x v="1"/>
    <n v="4"/>
    <x v="2"/>
    <n v="5467"/>
    <n v="13953"/>
    <n v="3"/>
    <s v="Y"/>
    <x v="0"/>
    <n v="14"/>
    <n v="3"/>
    <n v="1"/>
    <n v="80"/>
    <n v="2"/>
    <n v="12"/>
    <n v="4"/>
    <n v="2"/>
    <x v="0"/>
    <m/>
    <n v="2"/>
    <n v="3"/>
    <n v="3"/>
  </r>
  <r>
    <n v="37"/>
    <x v="1"/>
    <x v="0"/>
    <n v="1439"/>
    <x v="1"/>
    <n v="4"/>
    <n v="1"/>
    <x v="0"/>
    <n v="1"/>
    <n v="1394"/>
    <n v="3"/>
    <x v="1"/>
    <n v="54"/>
    <n v="3"/>
    <n v="1"/>
    <x v="1"/>
    <n v="3"/>
    <x v="1"/>
    <n v="2996"/>
    <n v="5182"/>
    <n v="7"/>
    <s v="Y"/>
    <x v="0"/>
    <n v="15"/>
    <n v="3"/>
    <n v="4"/>
    <n v="80"/>
    <n v="0"/>
    <n v="8"/>
    <n v="2"/>
    <n v="3"/>
    <x v="0"/>
    <m/>
    <n v="4"/>
    <n v="1"/>
    <n v="3"/>
  </r>
  <r>
    <n v="33"/>
    <x v="1"/>
    <x v="1"/>
    <n v="1111"/>
    <x v="0"/>
    <n v="5"/>
    <n v="1"/>
    <x v="0"/>
    <n v="1"/>
    <n v="1395"/>
    <n v="2"/>
    <x v="1"/>
    <n v="61"/>
    <n v="3"/>
    <n v="2"/>
    <x v="0"/>
    <n v="4"/>
    <x v="1"/>
    <n v="9998"/>
    <n v="19293"/>
    <n v="6"/>
    <s v="Y"/>
    <x v="1"/>
    <n v="13"/>
    <n v="3"/>
    <n v="1"/>
    <n v="80"/>
    <n v="0"/>
    <n v="8"/>
    <n v="2"/>
    <n v="4"/>
    <x v="8"/>
    <m/>
    <n v="4"/>
    <n v="1"/>
    <n v="2"/>
  </r>
  <r>
    <n v="32"/>
    <x v="1"/>
    <x v="0"/>
    <n v="499"/>
    <x v="0"/>
    <n v="2"/>
    <n v="1"/>
    <x v="3"/>
    <n v="1"/>
    <n v="1396"/>
    <n v="3"/>
    <x v="1"/>
    <n v="36"/>
    <n v="3"/>
    <n v="2"/>
    <x v="0"/>
    <n v="2"/>
    <x v="1"/>
    <n v="4078"/>
    <n v="20497"/>
    <n v="0"/>
    <s v="Y"/>
    <x v="0"/>
    <n v="13"/>
    <n v="3"/>
    <n v="1"/>
    <n v="80"/>
    <n v="3"/>
    <n v="4"/>
    <n v="3"/>
    <n v="2"/>
    <x v="11"/>
    <m/>
    <n v="2"/>
    <n v="1"/>
    <n v="2"/>
  </r>
  <r>
    <n v="39"/>
    <x v="1"/>
    <x v="2"/>
    <n v="1485"/>
    <x v="1"/>
    <n v="25"/>
    <n v="2"/>
    <x v="0"/>
    <n v="1"/>
    <n v="1397"/>
    <n v="3"/>
    <x v="1"/>
    <n v="71"/>
    <n v="3"/>
    <n v="3"/>
    <x v="4"/>
    <n v="3"/>
    <x v="1"/>
    <n v="10920"/>
    <n v="3449"/>
    <n v="3"/>
    <s v="Y"/>
    <x v="1"/>
    <n v="21"/>
    <n v="4"/>
    <n v="2"/>
    <n v="80"/>
    <n v="1"/>
    <n v="13"/>
    <n v="2"/>
    <n v="3"/>
    <x v="0"/>
    <m/>
    <n v="4"/>
    <n v="0"/>
    <n v="5"/>
  </r>
  <r>
    <n v="25"/>
    <x v="1"/>
    <x v="0"/>
    <n v="1372"/>
    <x v="0"/>
    <n v="18"/>
    <n v="1"/>
    <x v="0"/>
    <n v="1"/>
    <n v="1399"/>
    <n v="1"/>
    <x v="1"/>
    <n v="93"/>
    <n v="4"/>
    <n v="2"/>
    <x v="0"/>
    <n v="3"/>
    <x v="1"/>
    <n v="6232"/>
    <n v="12477"/>
    <n v="2"/>
    <s v="Y"/>
    <x v="1"/>
    <n v="11"/>
    <n v="3"/>
    <n v="2"/>
    <n v="80"/>
    <n v="0"/>
    <n v="6"/>
    <n v="3"/>
    <n v="2"/>
    <x v="11"/>
    <m/>
    <n v="2"/>
    <n v="1"/>
    <n v="2"/>
  </r>
  <r>
    <n v="52"/>
    <x v="1"/>
    <x v="1"/>
    <n v="322"/>
    <x v="1"/>
    <n v="28"/>
    <n v="2"/>
    <x v="2"/>
    <n v="1"/>
    <n v="1401"/>
    <n v="4"/>
    <x v="0"/>
    <n v="59"/>
    <n v="4"/>
    <n v="4"/>
    <x v="3"/>
    <n v="3"/>
    <x v="1"/>
    <n v="13247"/>
    <n v="9731"/>
    <n v="2"/>
    <s v="Y"/>
    <x v="0"/>
    <n v="11"/>
    <n v="3"/>
    <n v="2"/>
    <n v="80"/>
    <n v="1"/>
    <n v="24"/>
    <n v="3"/>
    <n v="2"/>
    <x v="8"/>
    <m/>
    <n v="3"/>
    <n v="0"/>
    <n v="2"/>
  </r>
  <r>
    <n v="43"/>
    <x v="1"/>
    <x v="0"/>
    <n v="930"/>
    <x v="1"/>
    <n v="6"/>
    <n v="3"/>
    <x v="2"/>
    <n v="1"/>
    <n v="1402"/>
    <n v="1"/>
    <x v="0"/>
    <n v="73"/>
    <n v="2"/>
    <n v="2"/>
    <x v="1"/>
    <n v="3"/>
    <x v="0"/>
    <n v="4081"/>
    <n v="20003"/>
    <n v="1"/>
    <s v="Y"/>
    <x v="0"/>
    <n v="14"/>
    <n v="3"/>
    <n v="1"/>
    <n v="80"/>
    <n v="0"/>
    <n v="20"/>
    <n v="3"/>
    <n v="1"/>
    <x v="23"/>
    <m/>
    <n v="7"/>
    <n v="1"/>
    <n v="8"/>
  </r>
  <r>
    <n v="27"/>
    <x v="1"/>
    <x v="0"/>
    <n v="205"/>
    <x v="0"/>
    <n v="10"/>
    <n v="3"/>
    <x v="3"/>
    <n v="1"/>
    <n v="1403"/>
    <n v="4"/>
    <x v="0"/>
    <n v="98"/>
    <n v="2"/>
    <n v="2"/>
    <x v="0"/>
    <n v="4"/>
    <x v="1"/>
    <n v="5769"/>
    <n v="7100"/>
    <n v="1"/>
    <s v="Y"/>
    <x v="0"/>
    <n v="11"/>
    <n v="3"/>
    <n v="4"/>
    <n v="80"/>
    <n v="0"/>
    <n v="6"/>
    <n v="3"/>
    <n v="3"/>
    <x v="0"/>
    <m/>
    <n v="2"/>
    <n v="4"/>
    <n v="4"/>
  </r>
  <r>
    <n v="27"/>
    <x v="0"/>
    <x v="0"/>
    <n v="135"/>
    <x v="1"/>
    <n v="17"/>
    <n v="4"/>
    <x v="0"/>
    <n v="1"/>
    <n v="1405"/>
    <n v="4"/>
    <x v="0"/>
    <n v="51"/>
    <n v="3"/>
    <n v="1"/>
    <x v="1"/>
    <n v="3"/>
    <x v="0"/>
    <n v="2394"/>
    <n v="25681"/>
    <n v="1"/>
    <s v="Y"/>
    <x v="0"/>
    <n v="13"/>
    <n v="3"/>
    <n v="4"/>
    <n v="80"/>
    <n v="0"/>
    <n v="8"/>
    <n v="2"/>
    <n v="3"/>
    <x v="3"/>
    <m/>
    <n v="2"/>
    <n v="7"/>
    <n v="7"/>
  </r>
  <r>
    <n v="26"/>
    <x v="1"/>
    <x v="0"/>
    <n v="683"/>
    <x v="1"/>
    <n v="2"/>
    <n v="1"/>
    <x v="2"/>
    <n v="1"/>
    <n v="1407"/>
    <n v="1"/>
    <x v="1"/>
    <n v="36"/>
    <n v="2"/>
    <n v="1"/>
    <x v="1"/>
    <n v="4"/>
    <x v="0"/>
    <n v="3904"/>
    <n v="4050"/>
    <n v="0"/>
    <s v="Y"/>
    <x v="1"/>
    <n v="12"/>
    <n v="3"/>
    <n v="4"/>
    <n v="80"/>
    <n v="0"/>
    <n v="5"/>
    <n v="2"/>
    <n v="3"/>
    <x v="9"/>
    <m/>
    <n v="3"/>
    <n v="1"/>
    <n v="1"/>
  </r>
  <r>
    <n v="42"/>
    <x v="1"/>
    <x v="0"/>
    <n v="1147"/>
    <x v="2"/>
    <n v="10"/>
    <n v="3"/>
    <x v="5"/>
    <n v="1"/>
    <n v="1408"/>
    <n v="3"/>
    <x v="0"/>
    <n v="31"/>
    <n v="3"/>
    <n v="4"/>
    <x v="5"/>
    <n v="1"/>
    <x v="1"/>
    <n v="16799"/>
    <n v="16616"/>
    <n v="0"/>
    <s v="Y"/>
    <x v="1"/>
    <n v="14"/>
    <n v="3"/>
    <n v="3"/>
    <n v="80"/>
    <n v="1"/>
    <n v="21"/>
    <n v="5"/>
    <n v="3"/>
    <x v="23"/>
    <m/>
    <n v="7"/>
    <n v="0"/>
    <n v="9"/>
  </r>
  <r>
    <n v="52"/>
    <x v="1"/>
    <x v="0"/>
    <n v="258"/>
    <x v="1"/>
    <n v="8"/>
    <n v="4"/>
    <x v="1"/>
    <n v="1"/>
    <n v="1409"/>
    <n v="3"/>
    <x v="0"/>
    <n v="54"/>
    <n v="3"/>
    <n v="1"/>
    <x v="2"/>
    <n v="1"/>
    <x v="1"/>
    <n v="2950"/>
    <n v="17363"/>
    <n v="9"/>
    <s v="Y"/>
    <x v="1"/>
    <n v="13"/>
    <n v="3"/>
    <n v="3"/>
    <n v="80"/>
    <n v="0"/>
    <n v="12"/>
    <n v="2"/>
    <n v="1"/>
    <x v="8"/>
    <m/>
    <n v="4"/>
    <n v="0"/>
    <n v="4"/>
  </r>
  <r>
    <n v="37"/>
    <x v="1"/>
    <x v="0"/>
    <n v="1462"/>
    <x v="1"/>
    <n v="11"/>
    <n v="3"/>
    <x v="2"/>
    <n v="1"/>
    <n v="1411"/>
    <n v="1"/>
    <x v="0"/>
    <n v="94"/>
    <n v="3"/>
    <n v="1"/>
    <x v="2"/>
    <n v="3"/>
    <x v="0"/>
    <n v="3629"/>
    <n v="19106"/>
    <n v="4"/>
    <s v="Y"/>
    <x v="1"/>
    <n v="18"/>
    <n v="3"/>
    <n v="1"/>
    <n v="80"/>
    <n v="0"/>
    <n v="8"/>
    <n v="6"/>
    <n v="3"/>
    <x v="11"/>
    <m/>
    <n v="2"/>
    <n v="0"/>
    <n v="2"/>
  </r>
  <r>
    <n v="35"/>
    <x v="1"/>
    <x v="1"/>
    <n v="200"/>
    <x v="1"/>
    <n v="18"/>
    <n v="2"/>
    <x v="0"/>
    <n v="1"/>
    <n v="1412"/>
    <n v="3"/>
    <x v="1"/>
    <n v="60"/>
    <n v="3"/>
    <n v="3"/>
    <x v="3"/>
    <n v="4"/>
    <x v="0"/>
    <n v="9362"/>
    <n v="19944"/>
    <n v="2"/>
    <s v="Y"/>
    <x v="1"/>
    <n v="11"/>
    <n v="3"/>
    <n v="3"/>
    <n v="80"/>
    <n v="0"/>
    <n v="10"/>
    <n v="2"/>
    <n v="3"/>
    <x v="4"/>
    <m/>
    <n v="2"/>
    <n v="2"/>
    <n v="2"/>
  </r>
  <r>
    <n v="25"/>
    <x v="1"/>
    <x v="0"/>
    <n v="949"/>
    <x v="1"/>
    <n v="1"/>
    <n v="3"/>
    <x v="4"/>
    <n v="1"/>
    <n v="1415"/>
    <n v="1"/>
    <x v="1"/>
    <n v="81"/>
    <n v="3"/>
    <n v="1"/>
    <x v="2"/>
    <n v="4"/>
    <x v="1"/>
    <n v="3229"/>
    <n v="4910"/>
    <n v="4"/>
    <s v="Y"/>
    <x v="1"/>
    <n v="11"/>
    <n v="3"/>
    <n v="2"/>
    <n v="80"/>
    <n v="1"/>
    <n v="7"/>
    <n v="2"/>
    <n v="2"/>
    <x v="11"/>
    <m/>
    <n v="2"/>
    <n v="0"/>
    <n v="2"/>
  </r>
  <r>
    <n v="26"/>
    <x v="1"/>
    <x v="0"/>
    <n v="652"/>
    <x v="1"/>
    <n v="7"/>
    <n v="3"/>
    <x v="1"/>
    <n v="1"/>
    <n v="1417"/>
    <n v="3"/>
    <x v="1"/>
    <n v="100"/>
    <n v="4"/>
    <n v="1"/>
    <x v="2"/>
    <n v="1"/>
    <x v="0"/>
    <n v="3578"/>
    <n v="23577"/>
    <n v="0"/>
    <s v="Y"/>
    <x v="1"/>
    <n v="12"/>
    <n v="3"/>
    <n v="4"/>
    <n v="80"/>
    <n v="0"/>
    <n v="8"/>
    <n v="2"/>
    <n v="3"/>
    <x v="5"/>
    <m/>
    <n v="7"/>
    <n v="0"/>
    <n v="7"/>
  </r>
  <r>
    <n v="29"/>
    <x v="1"/>
    <x v="0"/>
    <n v="332"/>
    <x v="2"/>
    <n v="17"/>
    <n v="3"/>
    <x v="1"/>
    <n v="1"/>
    <n v="1419"/>
    <n v="2"/>
    <x v="1"/>
    <n v="51"/>
    <n v="2"/>
    <n v="3"/>
    <x v="8"/>
    <n v="1"/>
    <x v="0"/>
    <n v="7988"/>
    <n v="9769"/>
    <n v="1"/>
    <s v="Y"/>
    <x v="1"/>
    <n v="13"/>
    <n v="3"/>
    <n v="1"/>
    <n v="80"/>
    <n v="0"/>
    <n v="10"/>
    <n v="3"/>
    <n v="2"/>
    <x v="1"/>
    <m/>
    <n v="9"/>
    <n v="0"/>
    <n v="9"/>
  </r>
  <r>
    <n v="49"/>
    <x v="0"/>
    <x v="1"/>
    <n v="1475"/>
    <x v="1"/>
    <n v="28"/>
    <n v="2"/>
    <x v="0"/>
    <n v="1"/>
    <n v="1420"/>
    <n v="1"/>
    <x v="1"/>
    <n v="97"/>
    <n v="2"/>
    <n v="2"/>
    <x v="2"/>
    <n v="1"/>
    <x v="0"/>
    <n v="4284"/>
    <n v="22710"/>
    <n v="3"/>
    <s v="Y"/>
    <x v="1"/>
    <n v="20"/>
    <n v="4"/>
    <n v="1"/>
    <n v="80"/>
    <n v="0"/>
    <n v="20"/>
    <n v="2"/>
    <n v="3"/>
    <x v="9"/>
    <m/>
    <n v="3"/>
    <n v="1"/>
    <n v="3"/>
  </r>
  <r>
    <n v="29"/>
    <x v="0"/>
    <x v="1"/>
    <n v="337"/>
    <x v="1"/>
    <n v="14"/>
    <n v="1"/>
    <x v="1"/>
    <n v="1"/>
    <n v="1421"/>
    <n v="3"/>
    <x v="0"/>
    <n v="84"/>
    <n v="3"/>
    <n v="3"/>
    <x v="4"/>
    <n v="4"/>
    <x v="0"/>
    <n v="7553"/>
    <n v="22930"/>
    <n v="0"/>
    <s v="Y"/>
    <x v="0"/>
    <n v="12"/>
    <n v="3"/>
    <n v="1"/>
    <n v="80"/>
    <n v="0"/>
    <n v="9"/>
    <n v="1"/>
    <n v="3"/>
    <x v="3"/>
    <m/>
    <n v="7"/>
    <n v="7"/>
    <n v="7"/>
  </r>
  <r>
    <n v="54"/>
    <x v="1"/>
    <x v="0"/>
    <n v="971"/>
    <x v="1"/>
    <n v="1"/>
    <n v="3"/>
    <x v="2"/>
    <n v="1"/>
    <n v="1422"/>
    <n v="4"/>
    <x v="0"/>
    <n v="54"/>
    <n v="3"/>
    <n v="4"/>
    <x v="7"/>
    <n v="4"/>
    <x v="0"/>
    <n v="17328"/>
    <n v="5652"/>
    <n v="6"/>
    <s v="Y"/>
    <x v="1"/>
    <n v="19"/>
    <n v="3"/>
    <n v="4"/>
    <n v="80"/>
    <n v="0"/>
    <n v="29"/>
    <n v="3"/>
    <n v="2"/>
    <x v="23"/>
    <m/>
    <n v="7"/>
    <n v="12"/>
    <n v="7"/>
  </r>
  <r>
    <n v="58"/>
    <x v="1"/>
    <x v="0"/>
    <n v="1055"/>
    <x v="1"/>
    <n v="1"/>
    <n v="3"/>
    <x v="2"/>
    <n v="1"/>
    <n v="1423"/>
    <n v="4"/>
    <x v="0"/>
    <n v="76"/>
    <n v="3"/>
    <n v="5"/>
    <x v="7"/>
    <n v="1"/>
    <x v="1"/>
    <n v="19701"/>
    <n v="22456"/>
    <n v="3"/>
    <s v="Y"/>
    <x v="0"/>
    <n v="21"/>
    <n v="4"/>
    <n v="3"/>
    <n v="80"/>
    <n v="1"/>
    <n v="32"/>
    <n v="3"/>
    <n v="3"/>
    <x v="7"/>
    <m/>
    <n v="8"/>
    <n v="1"/>
    <n v="5"/>
  </r>
  <r>
    <n v="55"/>
    <x v="1"/>
    <x v="0"/>
    <n v="1136"/>
    <x v="1"/>
    <n v="1"/>
    <n v="4"/>
    <x v="2"/>
    <n v="1"/>
    <n v="1424"/>
    <n v="2"/>
    <x v="1"/>
    <n v="81"/>
    <n v="4"/>
    <n v="4"/>
    <x v="7"/>
    <n v="4"/>
    <x v="2"/>
    <n v="14732"/>
    <n v="12414"/>
    <n v="2"/>
    <s v="Y"/>
    <x v="1"/>
    <n v="13"/>
    <n v="3"/>
    <n v="4"/>
    <n v="80"/>
    <n v="2"/>
    <n v="31"/>
    <n v="4"/>
    <n v="4"/>
    <x v="5"/>
    <m/>
    <n v="7"/>
    <n v="0"/>
    <n v="0"/>
  </r>
  <r>
    <n v="36"/>
    <x v="1"/>
    <x v="0"/>
    <n v="1174"/>
    <x v="0"/>
    <n v="3"/>
    <n v="4"/>
    <x v="3"/>
    <n v="1"/>
    <n v="1425"/>
    <n v="1"/>
    <x v="0"/>
    <n v="99"/>
    <n v="3"/>
    <n v="2"/>
    <x v="0"/>
    <n v="2"/>
    <x v="0"/>
    <n v="9278"/>
    <n v="20763"/>
    <n v="3"/>
    <s v="Y"/>
    <x v="0"/>
    <n v="16"/>
    <n v="3"/>
    <n v="4"/>
    <n v="80"/>
    <n v="0"/>
    <n v="15"/>
    <n v="3"/>
    <n v="3"/>
    <x v="8"/>
    <m/>
    <n v="4"/>
    <n v="0"/>
    <n v="1"/>
  </r>
  <r>
    <n v="31"/>
    <x v="0"/>
    <x v="1"/>
    <n v="667"/>
    <x v="0"/>
    <n v="1"/>
    <n v="4"/>
    <x v="0"/>
    <n v="1"/>
    <n v="1427"/>
    <n v="2"/>
    <x v="0"/>
    <n v="50"/>
    <n v="1"/>
    <n v="1"/>
    <x v="6"/>
    <n v="3"/>
    <x v="0"/>
    <n v="1359"/>
    <n v="16154"/>
    <n v="1"/>
    <s v="Y"/>
    <x v="1"/>
    <n v="12"/>
    <n v="3"/>
    <n v="2"/>
    <n v="80"/>
    <n v="0"/>
    <n v="1"/>
    <n v="3"/>
    <n v="3"/>
    <x v="6"/>
    <m/>
    <n v="0"/>
    <n v="0"/>
    <n v="0"/>
  </r>
  <r>
    <n v="30"/>
    <x v="1"/>
    <x v="0"/>
    <n v="855"/>
    <x v="0"/>
    <n v="7"/>
    <n v="4"/>
    <x v="3"/>
    <n v="1"/>
    <n v="1428"/>
    <n v="4"/>
    <x v="0"/>
    <n v="73"/>
    <n v="3"/>
    <n v="2"/>
    <x v="0"/>
    <n v="1"/>
    <x v="2"/>
    <n v="4779"/>
    <n v="12761"/>
    <n v="7"/>
    <s v="Y"/>
    <x v="1"/>
    <n v="14"/>
    <n v="3"/>
    <n v="2"/>
    <n v="80"/>
    <n v="2"/>
    <n v="8"/>
    <n v="3"/>
    <n v="3"/>
    <x v="11"/>
    <m/>
    <n v="2"/>
    <n v="0"/>
    <n v="2"/>
  </r>
  <r>
    <n v="31"/>
    <x v="1"/>
    <x v="0"/>
    <n v="182"/>
    <x v="1"/>
    <n v="8"/>
    <n v="5"/>
    <x v="0"/>
    <n v="1"/>
    <n v="1430"/>
    <n v="1"/>
    <x v="0"/>
    <n v="93"/>
    <n v="3"/>
    <n v="4"/>
    <x v="7"/>
    <n v="2"/>
    <x v="0"/>
    <n v="16422"/>
    <n v="8847"/>
    <n v="3"/>
    <s v="Y"/>
    <x v="1"/>
    <n v="11"/>
    <n v="3"/>
    <n v="3"/>
    <n v="80"/>
    <n v="0"/>
    <n v="9"/>
    <n v="3"/>
    <n v="4"/>
    <x v="11"/>
    <m/>
    <n v="2"/>
    <n v="1"/>
    <n v="0"/>
  </r>
  <r>
    <n v="34"/>
    <x v="1"/>
    <x v="1"/>
    <n v="560"/>
    <x v="1"/>
    <n v="1"/>
    <n v="4"/>
    <x v="1"/>
    <n v="1"/>
    <n v="1431"/>
    <n v="4"/>
    <x v="1"/>
    <n v="91"/>
    <n v="3"/>
    <n v="1"/>
    <x v="1"/>
    <n v="1"/>
    <x v="2"/>
    <n v="2996"/>
    <n v="20284"/>
    <n v="5"/>
    <s v="Y"/>
    <x v="1"/>
    <n v="14"/>
    <n v="3"/>
    <n v="3"/>
    <n v="80"/>
    <n v="2"/>
    <n v="10"/>
    <n v="2"/>
    <n v="3"/>
    <x v="9"/>
    <m/>
    <n v="3"/>
    <n v="1"/>
    <n v="3"/>
  </r>
  <r>
    <n v="31"/>
    <x v="0"/>
    <x v="0"/>
    <n v="202"/>
    <x v="1"/>
    <n v="8"/>
    <n v="3"/>
    <x v="0"/>
    <n v="1"/>
    <n v="1433"/>
    <n v="1"/>
    <x v="0"/>
    <n v="34"/>
    <n v="2"/>
    <n v="1"/>
    <x v="1"/>
    <n v="2"/>
    <x v="0"/>
    <n v="1261"/>
    <n v="22262"/>
    <n v="1"/>
    <s v="Y"/>
    <x v="1"/>
    <n v="12"/>
    <n v="3"/>
    <n v="3"/>
    <n v="80"/>
    <n v="0"/>
    <n v="1"/>
    <n v="3"/>
    <n v="4"/>
    <x v="6"/>
    <m/>
    <n v="0"/>
    <n v="0"/>
    <n v="0"/>
  </r>
  <r>
    <n v="27"/>
    <x v="1"/>
    <x v="0"/>
    <n v="1377"/>
    <x v="1"/>
    <n v="11"/>
    <n v="1"/>
    <x v="0"/>
    <n v="1"/>
    <n v="1434"/>
    <n v="2"/>
    <x v="1"/>
    <n v="91"/>
    <n v="3"/>
    <n v="1"/>
    <x v="2"/>
    <n v="1"/>
    <x v="1"/>
    <n v="2099"/>
    <n v="7679"/>
    <n v="0"/>
    <s v="Y"/>
    <x v="1"/>
    <n v="14"/>
    <n v="3"/>
    <n v="2"/>
    <n v="80"/>
    <n v="0"/>
    <n v="6"/>
    <n v="3"/>
    <n v="4"/>
    <x v="8"/>
    <m/>
    <n v="0"/>
    <n v="1"/>
    <n v="4"/>
  </r>
  <r>
    <n v="36"/>
    <x v="1"/>
    <x v="0"/>
    <n v="172"/>
    <x v="1"/>
    <n v="4"/>
    <n v="4"/>
    <x v="0"/>
    <n v="1"/>
    <n v="1435"/>
    <n v="1"/>
    <x v="1"/>
    <n v="37"/>
    <n v="2"/>
    <n v="2"/>
    <x v="2"/>
    <n v="4"/>
    <x v="0"/>
    <n v="5810"/>
    <n v="22604"/>
    <n v="1"/>
    <s v="Y"/>
    <x v="1"/>
    <n v="16"/>
    <n v="3"/>
    <n v="3"/>
    <n v="80"/>
    <n v="0"/>
    <n v="10"/>
    <n v="2"/>
    <n v="2"/>
    <x v="1"/>
    <m/>
    <n v="4"/>
    <n v="1"/>
    <n v="8"/>
  </r>
  <r>
    <n v="36"/>
    <x v="1"/>
    <x v="0"/>
    <n v="329"/>
    <x v="0"/>
    <n v="16"/>
    <n v="4"/>
    <x v="3"/>
    <n v="1"/>
    <n v="1436"/>
    <n v="3"/>
    <x v="0"/>
    <n v="98"/>
    <n v="2"/>
    <n v="2"/>
    <x v="0"/>
    <n v="1"/>
    <x v="1"/>
    <n v="5647"/>
    <n v="13494"/>
    <n v="4"/>
    <s v="Y"/>
    <x v="1"/>
    <n v="13"/>
    <n v="3"/>
    <n v="1"/>
    <n v="80"/>
    <n v="2"/>
    <n v="11"/>
    <n v="3"/>
    <n v="2"/>
    <x v="11"/>
    <m/>
    <n v="2"/>
    <n v="0"/>
    <n v="2"/>
  </r>
  <r>
    <n v="47"/>
    <x v="1"/>
    <x v="0"/>
    <n v="465"/>
    <x v="1"/>
    <n v="1"/>
    <n v="3"/>
    <x v="4"/>
    <n v="1"/>
    <n v="1438"/>
    <n v="1"/>
    <x v="1"/>
    <n v="74"/>
    <n v="3"/>
    <n v="1"/>
    <x v="1"/>
    <n v="4"/>
    <x v="1"/>
    <n v="3420"/>
    <n v="10205"/>
    <n v="7"/>
    <s v="Y"/>
    <x v="1"/>
    <n v="12"/>
    <n v="3"/>
    <n v="3"/>
    <n v="80"/>
    <n v="1"/>
    <n v="17"/>
    <n v="2"/>
    <n v="2"/>
    <x v="0"/>
    <m/>
    <n v="5"/>
    <n v="1"/>
    <n v="2"/>
  </r>
  <r>
    <n v="25"/>
    <x v="0"/>
    <x v="0"/>
    <n v="383"/>
    <x v="0"/>
    <n v="9"/>
    <n v="2"/>
    <x v="0"/>
    <n v="1"/>
    <n v="1439"/>
    <n v="1"/>
    <x v="1"/>
    <n v="68"/>
    <n v="2"/>
    <n v="1"/>
    <x v="6"/>
    <n v="1"/>
    <x v="1"/>
    <n v="4400"/>
    <n v="15182"/>
    <n v="3"/>
    <s v="Y"/>
    <x v="1"/>
    <n v="12"/>
    <n v="3"/>
    <n v="1"/>
    <n v="80"/>
    <n v="0"/>
    <n v="6"/>
    <n v="2"/>
    <n v="3"/>
    <x v="11"/>
    <m/>
    <n v="2"/>
    <n v="2"/>
    <n v="2"/>
  </r>
  <r>
    <n v="37"/>
    <x v="1"/>
    <x v="2"/>
    <n v="1413"/>
    <x v="1"/>
    <n v="5"/>
    <n v="2"/>
    <x v="4"/>
    <n v="1"/>
    <n v="1440"/>
    <n v="3"/>
    <x v="1"/>
    <n v="84"/>
    <n v="4"/>
    <n v="1"/>
    <x v="2"/>
    <n v="3"/>
    <x v="0"/>
    <n v="3500"/>
    <n v="25470"/>
    <n v="0"/>
    <s v="Y"/>
    <x v="1"/>
    <n v="14"/>
    <n v="3"/>
    <n v="1"/>
    <n v="80"/>
    <n v="0"/>
    <n v="7"/>
    <n v="2"/>
    <n v="1"/>
    <x v="0"/>
    <m/>
    <n v="5"/>
    <n v="1"/>
    <n v="3"/>
  </r>
  <r>
    <n v="56"/>
    <x v="1"/>
    <x v="0"/>
    <n v="1255"/>
    <x v="1"/>
    <n v="1"/>
    <n v="2"/>
    <x v="0"/>
    <n v="1"/>
    <n v="1441"/>
    <n v="1"/>
    <x v="0"/>
    <n v="90"/>
    <n v="3"/>
    <n v="1"/>
    <x v="1"/>
    <n v="1"/>
    <x v="1"/>
    <n v="2066"/>
    <n v="10494"/>
    <n v="2"/>
    <s v="Y"/>
    <x v="1"/>
    <n v="22"/>
    <n v="4"/>
    <n v="4"/>
    <n v="80"/>
    <n v="1"/>
    <n v="5"/>
    <n v="3"/>
    <n v="4"/>
    <x v="11"/>
    <m/>
    <n v="2"/>
    <n v="1"/>
    <n v="0"/>
  </r>
  <r>
    <n v="47"/>
    <x v="1"/>
    <x v="0"/>
    <n v="359"/>
    <x v="1"/>
    <n v="2"/>
    <n v="4"/>
    <x v="2"/>
    <n v="1"/>
    <n v="1443"/>
    <n v="1"/>
    <x v="0"/>
    <n v="82"/>
    <n v="3"/>
    <n v="4"/>
    <x v="7"/>
    <n v="3"/>
    <x v="1"/>
    <n v="17169"/>
    <n v="26703"/>
    <n v="3"/>
    <s v="Y"/>
    <x v="1"/>
    <n v="19"/>
    <n v="3"/>
    <n v="2"/>
    <n v="80"/>
    <n v="2"/>
    <n v="26"/>
    <n v="2"/>
    <n v="4"/>
    <x v="23"/>
    <m/>
    <n v="17"/>
    <n v="5"/>
    <n v="6"/>
  </r>
  <r>
    <n v="24"/>
    <x v="1"/>
    <x v="0"/>
    <n v="1476"/>
    <x v="0"/>
    <n v="4"/>
    <n v="1"/>
    <x v="2"/>
    <n v="1"/>
    <n v="1445"/>
    <n v="4"/>
    <x v="0"/>
    <n v="42"/>
    <n v="3"/>
    <n v="2"/>
    <x v="0"/>
    <n v="3"/>
    <x v="1"/>
    <n v="4162"/>
    <n v="15211"/>
    <n v="1"/>
    <s v="Y"/>
    <x v="0"/>
    <n v="12"/>
    <n v="3"/>
    <n v="3"/>
    <n v="80"/>
    <n v="2"/>
    <n v="5"/>
    <n v="3"/>
    <n v="3"/>
    <x v="8"/>
    <m/>
    <n v="4"/>
    <n v="0"/>
    <n v="3"/>
  </r>
  <r>
    <n v="32"/>
    <x v="1"/>
    <x v="0"/>
    <n v="601"/>
    <x v="0"/>
    <n v="7"/>
    <n v="5"/>
    <x v="3"/>
    <n v="1"/>
    <n v="1446"/>
    <n v="4"/>
    <x v="1"/>
    <n v="97"/>
    <n v="3"/>
    <n v="2"/>
    <x v="0"/>
    <n v="4"/>
    <x v="1"/>
    <n v="9204"/>
    <n v="23343"/>
    <n v="4"/>
    <s v="Y"/>
    <x v="1"/>
    <n v="12"/>
    <n v="3"/>
    <n v="3"/>
    <n v="80"/>
    <n v="1"/>
    <n v="7"/>
    <n v="3"/>
    <n v="2"/>
    <x v="9"/>
    <m/>
    <n v="3"/>
    <n v="0"/>
    <n v="3"/>
  </r>
  <r>
    <n v="34"/>
    <x v="1"/>
    <x v="0"/>
    <n v="401"/>
    <x v="1"/>
    <n v="1"/>
    <n v="3"/>
    <x v="0"/>
    <n v="1"/>
    <n v="1447"/>
    <n v="4"/>
    <x v="0"/>
    <n v="86"/>
    <n v="2"/>
    <n v="1"/>
    <x v="2"/>
    <n v="2"/>
    <x v="1"/>
    <n v="3294"/>
    <n v="3708"/>
    <n v="5"/>
    <s v="Y"/>
    <x v="1"/>
    <n v="17"/>
    <n v="3"/>
    <n v="1"/>
    <n v="80"/>
    <n v="1"/>
    <n v="7"/>
    <n v="2"/>
    <n v="2"/>
    <x v="8"/>
    <m/>
    <n v="4"/>
    <n v="0"/>
    <n v="2"/>
  </r>
  <r>
    <n v="41"/>
    <x v="1"/>
    <x v="0"/>
    <n v="1283"/>
    <x v="1"/>
    <n v="5"/>
    <n v="5"/>
    <x v="2"/>
    <n v="1"/>
    <n v="1448"/>
    <n v="2"/>
    <x v="1"/>
    <n v="90"/>
    <n v="4"/>
    <n v="1"/>
    <x v="1"/>
    <n v="3"/>
    <x v="1"/>
    <n v="2127"/>
    <n v="5561"/>
    <n v="2"/>
    <s v="Y"/>
    <x v="0"/>
    <n v="12"/>
    <n v="3"/>
    <n v="1"/>
    <n v="80"/>
    <n v="0"/>
    <n v="7"/>
    <n v="5"/>
    <n v="2"/>
    <x v="9"/>
    <m/>
    <n v="2"/>
    <n v="0"/>
    <n v="3"/>
  </r>
  <r>
    <n v="40"/>
    <x v="1"/>
    <x v="2"/>
    <n v="663"/>
    <x v="1"/>
    <n v="9"/>
    <n v="4"/>
    <x v="1"/>
    <n v="1"/>
    <n v="1449"/>
    <n v="3"/>
    <x v="1"/>
    <n v="81"/>
    <n v="3"/>
    <n v="2"/>
    <x v="2"/>
    <n v="3"/>
    <x v="2"/>
    <n v="3975"/>
    <n v="23099"/>
    <n v="3"/>
    <s v="Y"/>
    <x v="1"/>
    <n v="11"/>
    <n v="3"/>
    <n v="3"/>
    <n v="80"/>
    <n v="2"/>
    <n v="11"/>
    <n v="2"/>
    <n v="4"/>
    <x v="3"/>
    <m/>
    <n v="7"/>
    <n v="0"/>
    <n v="7"/>
  </r>
  <r>
    <n v="31"/>
    <x v="1"/>
    <x v="0"/>
    <n v="326"/>
    <x v="0"/>
    <n v="8"/>
    <n v="2"/>
    <x v="0"/>
    <n v="1"/>
    <n v="1453"/>
    <n v="1"/>
    <x v="1"/>
    <n v="31"/>
    <n v="3"/>
    <n v="3"/>
    <x v="0"/>
    <n v="4"/>
    <x v="2"/>
    <n v="10793"/>
    <n v="8386"/>
    <n v="1"/>
    <s v="Y"/>
    <x v="1"/>
    <n v="18"/>
    <n v="3"/>
    <n v="1"/>
    <n v="80"/>
    <n v="1"/>
    <n v="13"/>
    <n v="5"/>
    <n v="3"/>
    <x v="20"/>
    <m/>
    <n v="7"/>
    <n v="9"/>
    <n v="9"/>
  </r>
  <r>
    <n v="46"/>
    <x v="0"/>
    <x v="0"/>
    <n v="377"/>
    <x v="0"/>
    <n v="9"/>
    <n v="3"/>
    <x v="3"/>
    <n v="1"/>
    <n v="1457"/>
    <n v="1"/>
    <x v="1"/>
    <n v="52"/>
    <n v="3"/>
    <n v="3"/>
    <x v="0"/>
    <n v="4"/>
    <x v="2"/>
    <n v="10096"/>
    <n v="15986"/>
    <n v="4"/>
    <s v="Y"/>
    <x v="1"/>
    <n v="11"/>
    <n v="3"/>
    <n v="1"/>
    <n v="80"/>
    <n v="1"/>
    <n v="28"/>
    <n v="1"/>
    <n v="4"/>
    <x v="5"/>
    <m/>
    <n v="7"/>
    <n v="4"/>
    <n v="3"/>
  </r>
  <r>
    <n v="39"/>
    <x v="0"/>
    <x v="2"/>
    <n v="592"/>
    <x v="1"/>
    <n v="2"/>
    <n v="3"/>
    <x v="0"/>
    <n v="1"/>
    <n v="1458"/>
    <n v="1"/>
    <x v="0"/>
    <n v="54"/>
    <n v="2"/>
    <n v="1"/>
    <x v="2"/>
    <n v="1"/>
    <x v="0"/>
    <n v="3646"/>
    <n v="17181"/>
    <n v="2"/>
    <s v="Y"/>
    <x v="0"/>
    <n v="23"/>
    <n v="4"/>
    <n v="2"/>
    <n v="80"/>
    <n v="0"/>
    <n v="11"/>
    <n v="2"/>
    <n v="4"/>
    <x v="6"/>
    <m/>
    <n v="0"/>
    <n v="0"/>
    <n v="0"/>
  </r>
  <r>
    <n v="31"/>
    <x v="0"/>
    <x v="1"/>
    <n v="1445"/>
    <x v="1"/>
    <n v="1"/>
    <n v="5"/>
    <x v="0"/>
    <n v="1"/>
    <n v="1459"/>
    <n v="3"/>
    <x v="0"/>
    <n v="100"/>
    <n v="4"/>
    <n v="3"/>
    <x v="3"/>
    <n v="2"/>
    <x v="0"/>
    <n v="7446"/>
    <n v="8931"/>
    <n v="1"/>
    <s v="Y"/>
    <x v="1"/>
    <n v="11"/>
    <n v="3"/>
    <n v="1"/>
    <n v="80"/>
    <n v="0"/>
    <n v="10"/>
    <n v="2"/>
    <n v="3"/>
    <x v="1"/>
    <m/>
    <n v="8"/>
    <n v="4"/>
    <n v="7"/>
  </r>
  <r>
    <n v="45"/>
    <x v="1"/>
    <x v="0"/>
    <n v="1038"/>
    <x v="1"/>
    <n v="20"/>
    <n v="3"/>
    <x v="2"/>
    <n v="1"/>
    <n v="1460"/>
    <n v="2"/>
    <x v="1"/>
    <n v="95"/>
    <n v="1"/>
    <n v="3"/>
    <x v="4"/>
    <n v="1"/>
    <x v="2"/>
    <n v="10851"/>
    <n v="19863"/>
    <n v="2"/>
    <s v="Y"/>
    <x v="0"/>
    <n v="18"/>
    <n v="3"/>
    <n v="2"/>
    <n v="80"/>
    <n v="1"/>
    <n v="24"/>
    <n v="2"/>
    <n v="3"/>
    <x v="5"/>
    <m/>
    <n v="7"/>
    <n v="0"/>
    <n v="7"/>
  </r>
  <r>
    <n v="31"/>
    <x v="1"/>
    <x v="0"/>
    <n v="1398"/>
    <x v="2"/>
    <n v="8"/>
    <n v="2"/>
    <x v="2"/>
    <n v="1"/>
    <n v="1461"/>
    <n v="4"/>
    <x v="0"/>
    <n v="96"/>
    <n v="4"/>
    <n v="1"/>
    <x v="8"/>
    <n v="2"/>
    <x v="0"/>
    <n v="2109"/>
    <n v="24609"/>
    <n v="9"/>
    <s v="Y"/>
    <x v="1"/>
    <n v="18"/>
    <n v="3"/>
    <n v="4"/>
    <n v="80"/>
    <n v="0"/>
    <n v="8"/>
    <n v="3"/>
    <n v="3"/>
    <x v="11"/>
    <m/>
    <n v="2"/>
    <n v="0"/>
    <n v="2"/>
  </r>
  <r>
    <n v="31"/>
    <x v="0"/>
    <x v="1"/>
    <n v="523"/>
    <x v="1"/>
    <n v="2"/>
    <n v="3"/>
    <x v="0"/>
    <n v="1"/>
    <n v="1464"/>
    <n v="2"/>
    <x v="1"/>
    <n v="94"/>
    <n v="3"/>
    <n v="1"/>
    <x v="2"/>
    <n v="4"/>
    <x v="1"/>
    <n v="3722"/>
    <n v="21081"/>
    <n v="6"/>
    <s v="Y"/>
    <x v="0"/>
    <n v="13"/>
    <n v="3"/>
    <n v="3"/>
    <n v="80"/>
    <n v="1"/>
    <n v="7"/>
    <n v="2"/>
    <n v="1"/>
    <x v="4"/>
    <m/>
    <n v="2"/>
    <n v="2"/>
    <n v="2"/>
  </r>
  <r>
    <n v="45"/>
    <x v="1"/>
    <x v="0"/>
    <n v="1448"/>
    <x v="1"/>
    <n v="29"/>
    <n v="3"/>
    <x v="4"/>
    <n v="1"/>
    <n v="1465"/>
    <n v="2"/>
    <x v="1"/>
    <n v="55"/>
    <n v="3"/>
    <n v="3"/>
    <x v="3"/>
    <n v="4"/>
    <x v="1"/>
    <n v="9380"/>
    <n v="14720"/>
    <n v="4"/>
    <s v="Y"/>
    <x v="0"/>
    <n v="18"/>
    <n v="3"/>
    <n v="4"/>
    <n v="80"/>
    <n v="2"/>
    <n v="10"/>
    <n v="4"/>
    <n v="4"/>
    <x v="11"/>
    <m/>
    <n v="1"/>
    <n v="1"/>
    <n v="2"/>
  </r>
  <r>
    <n v="48"/>
    <x v="1"/>
    <x v="0"/>
    <n v="1221"/>
    <x v="0"/>
    <n v="7"/>
    <n v="3"/>
    <x v="3"/>
    <n v="1"/>
    <n v="1466"/>
    <n v="3"/>
    <x v="1"/>
    <n v="96"/>
    <n v="3"/>
    <n v="2"/>
    <x v="0"/>
    <n v="1"/>
    <x v="2"/>
    <n v="5486"/>
    <n v="24795"/>
    <n v="4"/>
    <s v="Y"/>
    <x v="1"/>
    <n v="11"/>
    <n v="3"/>
    <n v="1"/>
    <n v="80"/>
    <n v="3"/>
    <n v="15"/>
    <n v="3"/>
    <n v="3"/>
    <x v="4"/>
    <m/>
    <n v="2"/>
    <n v="2"/>
    <n v="2"/>
  </r>
  <r>
    <n v="34"/>
    <x v="0"/>
    <x v="0"/>
    <n v="1107"/>
    <x v="2"/>
    <n v="9"/>
    <n v="4"/>
    <x v="4"/>
    <n v="1"/>
    <n v="1467"/>
    <n v="1"/>
    <x v="0"/>
    <n v="52"/>
    <n v="3"/>
    <n v="1"/>
    <x v="8"/>
    <n v="3"/>
    <x v="1"/>
    <n v="2742"/>
    <n v="3072"/>
    <n v="1"/>
    <s v="Y"/>
    <x v="1"/>
    <n v="15"/>
    <n v="3"/>
    <n v="4"/>
    <n v="80"/>
    <n v="0"/>
    <n v="2"/>
    <n v="0"/>
    <n v="3"/>
    <x v="4"/>
    <m/>
    <n v="2"/>
    <n v="2"/>
    <n v="2"/>
  </r>
  <r>
    <n v="40"/>
    <x v="1"/>
    <x v="2"/>
    <n v="218"/>
    <x v="1"/>
    <n v="8"/>
    <n v="1"/>
    <x v="2"/>
    <n v="1"/>
    <n v="1468"/>
    <n v="4"/>
    <x v="1"/>
    <n v="55"/>
    <n v="2"/>
    <n v="3"/>
    <x v="7"/>
    <n v="2"/>
    <x v="2"/>
    <n v="13757"/>
    <n v="25178"/>
    <n v="2"/>
    <s v="Y"/>
    <x v="1"/>
    <n v="11"/>
    <n v="3"/>
    <n v="3"/>
    <n v="80"/>
    <n v="1"/>
    <n v="16"/>
    <n v="5"/>
    <n v="3"/>
    <x v="7"/>
    <m/>
    <n v="8"/>
    <n v="4"/>
    <n v="8"/>
  </r>
  <r>
    <n v="28"/>
    <x v="1"/>
    <x v="0"/>
    <n v="866"/>
    <x v="0"/>
    <n v="5"/>
    <n v="3"/>
    <x v="2"/>
    <n v="1"/>
    <n v="1469"/>
    <n v="4"/>
    <x v="1"/>
    <n v="84"/>
    <n v="3"/>
    <n v="2"/>
    <x v="0"/>
    <n v="1"/>
    <x v="0"/>
    <n v="8463"/>
    <n v="23490"/>
    <n v="0"/>
    <s v="Y"/>
    <x v="1"/>
    <n v="18"/>
    <n v="3"/>
    <n v="4"/>
    <n v="80"/>
    <n v="0"/>
    <n v="6"/>
    <n v="4"/>
    <n v="3"/>
    <x v="8"/>
    <m/>
    <n v="4"/>
    <n v="1"/>
    <n v="3"/>
  </r>
  <r>
    <n v="44"/>
    <x v="1"/>
    <x v="2"/>
    <n v="981"/>
    <x v="1"/>
    <n v="5"/>
    <n v="3"/>
    <x v="0"/>
    <n v="1"/>
    <n v="1471"/>
    <n v="3"/>
    <x v="1"/>
    <n v="90"/>
    <n v="2"/>
    <n v="1"/>
    <x v="2"/>
    <n v="3"/>
    <x v="0"/>
    <n v="3162"/>
    <n v="7973"/>
    <n v="3"/>
    <s v="Y"/>
    <x v="1"/>
    <n v="14"/>
    <n v="3"/>
    <n v="4"/>
    <n v="80"/>
    <n v="0"/>
    <n v="7"/>
    <n v="5"/>
    <n v="3"/>
    <x v="8"/>
    <m/>
    <n v="2"/>
    <n v="0"/>
    <n v="3"/>
  </r>
  <r>
    <n v="53"/>
    <x v="1"/>
    <x v="0"/>
    <n v="447"/>
    <x v="1"/>
    <n v="2"/>
    <n v="3"/>
    <x v="2"/>
    <n v="1"/>
    <n v="1472"/>
    <n v="4"/>
    <x v="1"/>
    <n v="39"/>
    <n v="4"/>
    <n v="4"/>
    <x v="7"/>
    <n v="2"/>
    <x v="0"/>
    <n v="16598"/>
    <n v="19764"/>
    <n v="4"/>
    <s v="Y"/>
    <x v="1"/>
    <n v="12"/>
    <n v="3"/>
    <n v="2"/>
    <n v="80"/>
    <n v="0"/>
    <n v="35"/>
    <n v="2"/>
    <n v="2"/>
    <x v="7"/>
    <m/>
    <n v="8"/>
    <n v="8"/>
    <n v="8"/>
  </r>
  <r>
    <n v="49"/>
    <x v="1"/>
    <x v="0"/>
    <n v="1495"/>
    <x v="1"/>
    <n v="5"/>
    <n v="4"/>
    <x v="4"/>
    <n v="1"/>
    <n v="1473"/>
    <n v="1"/>
    <x v="1"/>
    <n v="96"/>
    <n v="3"/>
    <n v="2"/>
    <x v="4"/>
    <n v="3"/>
    <x v="1"/>
    <n v="6651"/>
    <n v="21534"/>
    <n v="2"/>
    <s v="Y"/>
    <x v="1"/>
    <n v="14"/>
    <n v="3"/>
    <n v="2"/>
    <n v="80"/>
    <n v="1"/>
    <n v="20"/>
    <n v="0"/>
    <n v="2"/>
    <x v="11"/>
    <m/>
    <n v="2"/>
    <n v="1"/>
    <n v="2"/>
  </r>
  <r>
    <n v="40"/>
    <x v="1"/>
    <x v="0"/>
    <n v="896"/>
    <x v="1"/>
    <n v="2"/>
    <n v="3"/>
    <x v="2"/>
    <n v="1"/>
    <n v="1474"/>
    <n v="3"/>
    <x v="1"/>
    <n v="68"/>
    <n v="3"/>
    <n v="1"/>
    <x v="1"/>
    <n v="3"/>
    <x v="2"/>
    <n v="2345"/>
    <n v="8045"/>
    <n v="2"/>
    <s v="Y"/>
    <x v="1"/>
    <n v="14"/>
    <n v="3"/>
    <n v="3"/>
    <n v="80"/>
    <n v="1"/>
    <n v="8"/>
    <n v="3"/>
    <n v="4"/>
    <x v="11"/>
    <m/>
    <n v="1"/>
    <n v="1"/>
    <n v="2"/>
  </r>
  <r>
    <n v="44"/>
    <x v="1"/>
    <x v="0"/>
    <n v="1467"/>
    <x v="1"/>
    <n v="20"/>
    <n v="3"/>
    <x v="0"/>
    <n v="1"/>
    <n v="1475"/>
    <n v="4"/>
    <x v="1"/>
    <n v="49"/>
    <n v="3"/>
    <n v="1"/>
    <x v="1"/>
    <n v="2"/>
    <x v="0"/>
    <n v="3420"/>
    <n v="21158"/>
    <n v="1"/>
    <s v="Y"/>
    <x v="1"/>
    <n v="13"/>
    <n v="3"/>
    <n v="3"/>
    <n v="80"/>
    <n v="0"/>
    <n v="6"/>
    <n v="3"/>
    <n v="2"/>
    <x v="8"/>
    <m/>
    <n v="2"/>
    <n v="1"/>
    <n v="3"/>
  </r>
  <r>
    <n v="33"/>
    <x v="1"/>
    <x v="1"/>
    <n v="430"/>
    <x v="0"/>
    <n v="7"/>
    <n v="3"/>
    <x v="2"/>
    <n v="1"/>
    <n v="1477"/>
    <n v="4"/>
    <x v="1"/>
    <n v="54"/>
    <n v="3"/>
    <n v="2"/>
    <x v="0"/>
    <n v="1"/>
    <x v="1"/>
    <n v="4373"/>
    <n v="17456"/>
    <n v="0"/>
    <s v="Y"/>
    <x v="1"/>
    <n v="14"/>
    <n v="3"/>
    <n v="1"/>
    <n v="80"/>
    <n v="2"/>
    <n v="5"/>
    <n v="2"/>
    <n v="3"/>
    <x v="9"/>
    <m/>
    <n v="3"/>
    <n v="0"/>
    <n v="3"/>
  </r>
  <r>
    <n v="34"/>
    <x v="1"/>
    <x v="0"/>
    <n v="1326"/>
    <x v="0"/>
    <n v="3"/>
    <n v="3"/>
    <x v="1"/>
    <n v="1"/>
    <n v="1478"/>
    <n v="4"/>
    <x v="1"/>
    <n v="81"/>
    <n v="1"/>
    <n v="2"/>
    <x v="0"/>
    <n v="1"/>
    <x v="0"/>
    <n v="4759"/>
    <n v="15891"/>
    <n v="3"/>
    <s v="Y"/>
    <x v="1"/>
    <n v="18"/>
    <n v="3"/>
    <n v="4"/>
    <n v="80"/>
    <n v="0"/>
    <n v="15"/>
    <n v="2"/>
    <n v="3"/>
    <x v="20"/>
    <m/>
    <n v="9"/>
    <n v="3"/>
    <n v="12"/>
  </r>
  <r>
    <n v="30"/>
    <x v="1"/>
    <x v="0"/>
    <n v="1358"/>
    <x v="0"/>
    <n v="16"/>
    <n v="1"/>
    <x v="0"/>
    <n v="1"/>
    <n v="1479"/>
    <n v="4"/>
    <x v="1"/>
    <n v="96"/>
    <n v="3"/>
    <n v="2"/>
    <x v="0"/>
    <n v="3"/>
    <x v="1"/>
    <n v="5301"/>
    <n v="2939"/>
    <n v="8"/>
    <s v="Y"/>
    <x v="1"/>
    <n v="15"/>
    <n v="3"/>
    <n v="3"/>
    <n v="80"/>
    <n v="2"/>
    <n v="4"/>
    <n v="2"/>
    <n v="2"/>
    <x v="4"/>
    <m/>
    <n v="1"/>
    <n v="2"/>
    <n v="2"/>
  </r>
  <r>
    <n v="42"/>
    <x v="1"/>
    <x v="1"/>
    <n v="748"/>
    <x v="1"/>
    <n v="9"/>
    <n v="2"/>
    <x v="2"/>
    <n v="1"/>
    <n v="1480"/>
    <n v="1"/>
    <x v="0"/>
    <n v="74"/>
    <n v="3"/>
    <n v="1"/>
    <x v="2"/>
    <n v="4"/>
    <x v="0"/>
    <n v="3673"/>
    <n v="16458"/>
    <n v="1"/>
    <s v="Y"/>
    <x v="1"/>
    <n v="13"/>
    <n v="3"/>
    <n v="3"/>
    <n v="80"/>
    <n v="0"/>
    <n v="12"/>
    <n v="3"/>
    <n v="3"/>
    <x v="12"/>
    <m/>
    <n v="9"/>
    <n v="5"/>
    <n v="8"/>
  </r>
  <r>
    <n v="44"/>
    <x v="1"/>
    <x v="1"/>
    <n v="383"/>
    <x v="0"/>
    <n v="1"/>
    <n v="5"/>
    <x v="3"/>
    <n v="1"/>
    <n v="1481"/>
    <n v="1"/>
    <x v="0"/>
    <n v="79"/>
    <n v="3"/>
    <n v="2"/>
    <x v="0"/>
    <n v="3"/>
    <x v="1"/>
    <n v="4768"/>
    <n v="9282"/>
    <n v="7"/>
    <s v="Y"/>
    <x v="1"/>
    <n v="12"/>
    <n v="3"/>
    <n v="3"/>
    <n v="80"/>
    <n v="1"/>
    <n v="11"/>
    <n v="4"/>
    <n v="2"/>
    <x v="6"/>
    <m/>
    <n v="0"/>
    <n v="0"/>
    <n v="0"/>
  </r>
  <r>
    <n v="30"/>
    <x v="1"/>
    <x v="2"/>
    <n v="990"/>
    <x v="1"/>
    <n v="7"/>
    <n v="3"/>
    <x v="4"/>
    <n v="1"/>
    <n v="1482"/>
    <n v="3"/>
    <x v="1"/>
    <n v="64"/>
    <n v="3"/>
    <n v="1"/>
    <x v="1"/>
    <n v="3"/>
    <x v="2"/>
    <n v="1274"/>
    <n v="7152"/>
    <n v="1"/>
    <s v="Y"/>
    <x v="1"/>
    <n v="13"/>
    <n v="3"/>
    <n v="2"/>
    <n v="80"/>
    <n v="2"/>
    <n v="1"/>
    <n v="2"/>
    <n v="2"/>
    <x v="6"/>
    <m/>
    <n v="0"/>
    <n v="0"/>
    <n v="0"/>
  </r>
  <r>
    <n v="57"/>
    <x v="1"/>
    <x v="0"/>
    <n v="405"/>
    <x v="1"/>
    <n v="1"/>
    <n v="2"/>
    <x v="0"/>
    <n v="1"/>
    <n v="1483"/>
    <n v="2"/>
    <x v="1"/>
    <n v="93"/>
    <n v="4"/>
    <n v="2"/>
    <x v="1"/>
    <n v="3"/>
    <x v="1"/>
    <n v="4900"/>
    <n v="2721"/>
    <n v="0"/>
    <s v="Y"/>
    <x v="1"/>
    <n v="24"/>
    <n v="4"/>
    <n v="1"/>
    <n v="80"/>
    <n v="1"/>
    <n v="13"/>
    <n v="2"/>
    <n v="2"/>
    <x v="12"/>
    <m/>
    <n v="9"/>
    <n v="2"/>
    <n v="8"/>
  </r>
  <r>
    <n v="49"/>
    <x v="1"/>
    <x v="0"/>
    <n v="1490"/>
    <x v="1"/>
    <n v="7"/>
    <n v="4"/>
    <x v="0"/>
    <n v="1"/>
    <n v="1484"/>
    <n v="3"/>
    <x v="1"/>
    <n v="35"/>
    <n v="3"/>
    <n v="3"/>
    <x v="4"/>
    <n v="2"/>
    <x v="2"/>
    <n v="10466"/>
    <n v="20948"/>
    <n v="3"/>
    <s v="Y"/>
    <x v="1"/>
    <n v="14"/>
    <n v="3"/>
    <n v="2"/>
    <n v="80"/>
    <n v="2"/>
    <n v="29"/>
    <n v="3"/>
    <n v="3"/>
    <x v="3"/>
    <m/>
    <n v="7"/>
    <n v="0"/>
    <n v="7"/>
  </r>
  <r>
    <n v="34"/>
    <x v="1"/>
    <x v="1"/>
    <n v="829"/>
    <x v="1"/>
    <n v="15"/>
    <n v="3"/>
    <x v="2"/>
    <n v="1"/>
    <n v="1485"/>
    <n v="2"/>
    <x v="1"/>
    <n v="71"/>
    <n v="3"/>
    <n v="4"/>
    <x v="7"/>
    <n v="1"/>
    <x v="2"/>
    <n v="17007"/>
    <n v="11929"/>
    <n v="7"/>
    <s v="Y"/>
    <x v="1"/>
    <n v="14"/>
    <n v="3"/>
    <n v="4"/>
    <n v="80"/>
    <n v="2"/>
    <n v="16"/>
    <n v="3"/>
    <n v="2"/>
    <x v="13"/>
    <m/>
    <n v="8"/>
    <n v="6"/>
    <n v="9"/>
  </r>
  <r>
    <n v="28"/>
    <x v="0"/>
    <x v="1"/>
    <n v="1496"/>
    <x v="0"/>
    <n v="1"/>
    <n v="3"/>
    <x v="4"/>
    <n v="1"/>
    <n v="1486"/>
    <n v="1"/>
    <x v="1"/>
    <n v="92"/>
    <n v="3"/>
    <n v="1"/>
    <x v="6"/>
    <n v="3"/>
    <x v="1"/>
    <n v="2909"/>
    <n v="15747"/>
    <n v="3"/>
    <s v="Y"/>
    <x v="1"/>
    <n v="15"/>
    <n v="3"/>
    <n v="4"/>
    <n v="80"/>
    <n v="1"/>
    <n v="5"/>
    <n v="3"/>
    <n v="4"/>
    <x v="11"/>
    <m/>
    <n v="2"/>
    <n v="1"/>
    <n v="2"/>
  </r>
  <r>
    <n v="29"/>
    <x v="0"/>
    <x v="1"/>
    <n v="115"/>
    <x v="0"/>
    <n v="13"/>
    <n v="3"/>
    <x v="4"/>
    <n v="1"/>
    <n v="1487"/>
    <n v="1"/>
    <x v="0"/>
    <n v="51"/>
    <n v="3"/>
    <n v="2"/>
    <x v="0"/>
    <n v="2"/>
    <x v="0"/>
    <n v="5765"/>
    <n v="17485"/>
    <n v="5"/>
    <s v="Y"/>
    <x v="1"/>
    <n v="11"/>
    <n v="3"/>
    <n v="1"/>
    <n v="80"/>
    <n v="0"/>
    <n v="7"/>
    <n v="4"/>
    <n v="1"/>
    <x v="8"/>
    <m/>
    <n v="3"/>
    <n v="0"/>
    <n v="0"/>
  </r>
  <r>
    <n v="34"/>
    <x v="0"/>
    <x v="0"/>
    <n v="790"/>
    <x v="0"/>
    <n v="24"/>
    <n v="4"/>
    <x v="2"/>
    <n v="1"/>
    <n v="1489"/>
    <n v="1"/>
    <x v="0"/>
    <n v="40"/>
    <n v="2"/>
    <n v="2"/>
    <x v="0"/>
    <n v="2"/>
    <x v="0"/>
    <n v="4599"/>
    <n v="7815"/>
    <n v="0"/>
    <s v="Y"/>
    <x v="0"/>
    <n v="23"/>
    <n v="4"/>
    <n v="3"/>
    <n v="80"/>
    <n v="0"/>
    <n v="16"/>
    <n v="2"/>
    <n v="4"/>
    <x v="15"/>
    <m/>
    <n v="9"/>
    <n v="10"/>
    <n v="10"/>
  </r>
  <r>
    <n v="35"/>
    <x v="1"/>
    <x v="0"/>
    <n v="660"/>
    <x v="0"/>
    <n v="7"/>
    <n v="1"/>
    <x v="0"/>
    <n v="1"/>
    <n v="1492"/>
    <n v="4"/>
    <x v="1"/>
    <n v="76"/>
    <n v="3"/>
    <n v="1"/>
    <x v="6"/>
    <n v="3"/>
    <x v="1"/>
    <n v="2404"/>
    <n v="16192"/>
    <n v="1"/>
    <s v="Y"/>
    <x v="1"/>
    <n v="13"/>
    <n v="3"/>
    <n v="1"/>
    <n v="80"/>
    <n v="1"/>
    <n v="1"/>
    <n v="3"/>
    <n v="3"/>
    <x v="6"/>
    <m/>
    <n v="0"/>
    <n v="0"/>
    <n v="0"/>
  </r>
  <r>
    <n v="24"/>
    <x v="0"/>
    <x v="1"/>
    <n v="381"/>
    <x v="1"/>
    <n v="9"/>
    <n v="3"/>
    <x v="2"/>
    <n v="1"/>
    <n v="1494"/>
    <n v="2"/>
    <x v="1"/>
    <n v="89"/>
    <n v="3"/>
    <n v="1"/>
    <x v="2"/>
    <n v="1"/>
    <x v="0"/>
    <n v="3172"/>
    <n v="16998"/>
    <n v="2"/>
    <s v="Y"/>
    <x v="0"/>
    <n v="11"/>
    <n v="3"/>
    <n v="3"/>
    <n v="80"/>
    <n v="0"/>
    <n v="4"/>
    <n v="2"/>
    <n v="2"/>
    <x v="2"/>
    <m/>
    <n v="0"/>
    <n v="0"/>
    <n v="0"/>
  </r>
  <r>
    <n v="24"/>
    <x v="1"/>
    <x v="2"/>
    <n v="830"/>
    <x v="0"/>
    <n v="13"/>
    <n v="2"/>
    <x v="0"/>
    <n v="1"/>
    <n v="1495"/>
    <n v="4"/>
    <x v="0"/>
    <n v="78"/>
    <n v="3"/>
    <n v="1"/>
    <x v="6"/>
    <n v="2"/>
    <x v="1"/>
    <n v="2033"/>
    <n v="7103"/>
    <n v="1"/>
    <s v="Y"/>
    <x v="1"/>
    <n v="13"/>
    <n v="3"/>
    <n v="3"/>
    <n v="80"/>
    <n v="1"/>
    <n v="1"/>
    <n v="2"/>
    <n v="3"/>
    <x v="6"/>
    <m/>
    <n v="0"/>
    <n v="0"/>
    <n v="0"/>
  </r>
  <r>
    <n v="44"/>
    <x v="1"/>
    <x v="1"/>
    <n v="1193"/>
    <x v="1"/>
    <n v="2"/>
    <n v="1"/>
    <x v="2"/>
    <n v="1"/>
    <n v="1496"/>
    <n v="2"/>
    <x v="1"/>
    <n v="86"/>
    <n v="3"/>
    <n v="3"/>
    <x v="3"/>
    <n v="3"/>
    <x v="0"/>
    <n v="10209"/>
    <n v="19719"/>
    <n v="5"/>
    <s v="Y"/>
    <x v="0"/>
    <n v="18"/>
    <n v="3"/>
    <n v="2"/>
    <n v="80"/>
    <n v="0"/>
    <n v="16"/>
    <n v="2"/>
    <n v="2"/>
    <x v="4"/>
    <m/>
    <n v="2"/>
    <n v="2"/>
    <n v="2"/>
  </r>
  <r>
    <n v="29"/>
    <x v="1"/>
    <x v="0"/>
    <n v="1246"/>
    <x v="0"/>
    <n v="19"/>
    <n v="3"/>
    <x v="0"/>
    <n v="1"/>
    <n v="1497"/>
    <n v="3"/>
    <x v="1"/>
    <n v="77"/>
    <n v="2"/>
    <n v="2"/>
    <x v="0"/>
    <n v="3"/>
    <x v="2"/>
    <n v="8620"/>
    <n v="23757"/>
    <n v="1"/>
    <s v="Y"/>
    <x v="1"/>
    <n v="14"/>
    <n v="3"/>
    <n v="3"/>
    <n v="80"/>
    <n v="2"/>
    <n v="10"/>
    <n v="3"/>
    <n v="3"/>
    <x v="1"/>
    <m/>
    <n v="7"/>
    <n v="0"/>
    <n v="4"/>
  </r>
  <r>
    <n v="30"/>
    <x v="1"/>
    <x v="0"/>
    <n v="330"/>
    <x v="2"/>
    <n v="1"/>
    <n v="3"/>
    <x v="0"/>
    <n v="1"/>
    <n v="1499"/>
    <n v="3"/>
    <x v="1"/>
    <n v="46"/>
    <n v="3"/>
    <n v="1"/>
    <x v="8"/>
    <n v="3"/>
    <x v="2"/>
    <n v="2064"/>
    <n v="15428"/>
    <n v="0"/>
    <s v="Y"/>
    <x v="1"/>
    <n v="21"/>
    <n v="4"/>
    <n v="1"/>
    <n v="80"/>
    <n v="1"/>
    <n v="6"/>
    <n v="3"/>
    <n v="4"/>
    <x v="8"/>
    <m/>
    <n v="3"/>
    <n v="1"/>
    <n v="3"/>
  </r>
  <r>
    <n v="55"/>
    <x v="1"/>
    <x v="0"/>
    <n v="1229"/>
    <x v="1"/>
    <n v="4"/>
    <n v="4"/>
    <x v="0"/>
    <n v="1"/>
    <n v="1501"/>
    <n v="4"/>
    <x v="1"/>
    <n v="30"/>
    <n v="3"/>
    <n v="2"/>
    <x v="4"/>
    <n v="3"/>
    <x v="1"/>
    <n v="4035"/>
    <n v="16143"/>
    <n v="0"/>
    <s v="Y"/>
    <x v="0"/>
    <n v="16"/>
    <n v="3"/>
    <n v="2"/>
    <n v="80"/>
    <n v="0"/>
    <n v="4"/>
    <n v="2"/>
    <n v="3"/>
    <x v="11"/>
    <m/>
    <n v="2"/>
    <n v="1"/>
    <n v="2"/>
  </r>
  <r>
    <n v="33"/>
    <x v="1"/>
    <x v="0"/>
    <n v="1099"/>
    <x v="1"/>
    <n v="4"/>
    <n v="4"/>
    <x v="2"/>
    <n v="1"/>
    <n v="1502"/>
    <n v="1"/>
    <x v="0"/>
    <n v="82"/>
    <n v="2"/>
    <n v="1"/>
    <x v="2"/>
    <n v="2"/>
    <x v="1"/>
    <n v="3838"/>
    <n v="8192"/>
    <n v="8"/>
    <s v="Y"/>
    <x v="1"/>
    <n v="11"/>
    <n v="3"/>
    <n v="4"/>
    <n v="80"/>
    <n v="0"/>
    <n v="8"/>
    <n v="5"/>
    <n v="3"/>
    <x v="8"/>
    <m/>
    <n v="4"/>
    <n v="0"/>
    <n v="2"/>
  </r>
  <r>
    <n v="47"/>
    <x v="1"/>
    <x v="0"/>
    <n v="571"/>
    <x v="0"/>
    <n v="14"/>
    <n v="3"/>
    <x v="2"/>
    <n v="1"/>
    <n v="1503"/>
    <n v="3"/>
    <x v="0"/>
    <n v="78"/>
    <n v="3"/>
    <n v="2"/>
    <x v="0"/>
    <n v="3"/>
    <x v="1"/>
    <n v="4591"/>
    <n v="24200"/>
    <n v="3"/>
    <s v="Y"/>
    <x v="0"/>
    <n v="17"/>
    <n v="3"/>
    <n v="3"/>
    <n v="80"/>
    <n v="1"/>
    <n v="11"/>
    <n v="4"/>
    <n v="2"/>
    <x v="8"/>
    <m/>
    <n v="4"/>
    <n v="1"/>
    <n v="2"/>
  </r>
  <r>
    <n v="28"/>
    <x v="0"/>
    <x v="1"/>
    <n v="289"/>
    <x v="1"/>
    <n v="2"/>
    <n v="2"/>
    <x v="2"/>
    <n v="1"/>
    <n v="1504"/>
    <n v="3"/>
    <x v="1"/>
    <n v="38"/>
    <n v="2"/>
    <n v="1"/>
    <x v="2"/>
    <n v="1"/>
    <x v="0"/>
    <n v="2561"/>
    <n v="5355"/>
    <n v="7"/>
    <s v="Y"/>
    <x v="1"/>
    <n v="11"/>
    <n v="3"/>
    <n v="3"/>
    <n v="80"/>
    <n v="0"/>
    <n v="8"/>
    <n v="2"/>
    <n v="2"/>
    <x v="2"/>
    <m/>
    <n v="0"/>
    <n v="0"/>
    <n v="0"/>
  </r>
  <r>
    <n v="28"/>
    <x v="1"/>
    <x v="0"/>
    <n v="1423"/>
    <x v="1"/>
    <n v="1"/>
    <n v="3"/>
    <x v="0"/>
    <n v="1"/>
    <n v="1506"/>
    <n v="1"/>
    <x v="1"/>
    <n v="72"/>
    <n v="2"/>
    <n v="1"/>
    <x v="1"/>
    <n v="3"/>
    <x v="2"/>
    <n v="1563"/>
    <n v="12530"/>
    <n v="1"/>
    <s v="Y"/>
    <x v="1"/>
    <n v="14"/>
    <n v="3"/>
    <n v="4"/>
    <n v="80"/>
    <n v="1"/>
    <n v="1"/>
    <n v="2"/>
    <n v="1"/>
    <x v="6"/>
    <m/>
    <n v="0"/>
    <n v="0"/>
    <n v="0"/>
  </r>
  <r>
    <n v="28"/>
    <x v="1"/>
    <x v="1"/>
    <n v="467"/>
    <x v="0"/>
    <n v="7"/>
    <n v="3"/>
    <x v="0"/>
    <n v="1"/>
    <n v="1507"/>
    <n v="3"/>
    <x v="1"/>
    <n v="55"/>
    <n v="3"/>
    <n v="2"/>
    <x v="0"/>
    <n v="1"/>
    <x v="0"/>
    <n v="4898"/>
    <n v="11827"/>
    <n v="0"/>
    <s v="Y"/>
    <x v="1"/>
    <n v="14"/>
    <n v="3"/>
    <n v="4"/>
    <n v="80"/>
    <n v="0"/>
    <n v="5"/>
    <n v="5"/>
    <n v="3"/>
    <x v="9"/>
    <m/>
    <n v="2"/>
    <n v="1"/>
    <n v="3"/>
  </r>
  <r>
    <n v="49"/>
    <x v="1"/>
    <x v="0"/>
    <n v="271"/>
    <x v="1"/>
    <n v="3"/>
    <n v="2"/>
    <x v="2"/>
    <n v="1"/>
    <n v="1509"/>
    <n v="3"/>
    <x v="0"/>
    <n v="43"/>
    <n v="2"/>
    <n v="2"/>
    <x v="2"/>
    <n v="1"/>
    <x v="1"/>
    <n v="4789"/>
    <n v="23070"/>
    <n v="4"/>
    <s v="Y"/>
    <x v="1"/>
    <n v="25"/>
    <n v="4"/>
    <n v="1"/>
    <n v="80"/>
    <n v="1"/>
    <n v="10"/>
    <n v="3"/>
    <n v="3"/>
    <x v="11"/>
    <m/>
    <n v="2"/>
    <n v="1"/>
    <n v="2"/>
  </r>
  <r>
    <n v="29"/>
    <x v="1"/>
    <x v="1"/>
    <n v="410"/>
    <x v="1"/>
    <n v="2"/>
    <n v="1"/>
    <x v="0"/>
    <n v="1"/>
    <n v="1513"/>
    <n v="4"/>
    <x v="0"/>
    <n v="97"/>
    <n v="3"/>
    <n v="1"/>
    <x v="2"/>
    <n v="2"/>
    <x v="1"/>
    <n v="3180"/>
    <n v="4668"/>
    <n v="0"/>
    <s v="Y"/>
    <x v="1"/>
    <n v="13"/>
    <n v="3"/>
    <n v="3"/>
    <n v="80"/>
    <n v="3"/>
    <n v="4"/>
    <n v="3"/>
    <n v="3"/>
    <x v="11"/>
    <m/>
    <n v="2"/>
    <n v="0"/>
    <n v="2"/>
  </r>
  <r>
    <n v="28"/>
    <x v="1"/>
    <x v="0"/>
    <n v="1083"/>
    <x v="1"/>
    <n v="29"/>
    <n v="1"/>
    <x v="0"/>
    <n v="1"/>
    <n v="1514"/>
    <n v="3"/>
    <x v="1"/>
    <n v="96"/>
    <n v="1"/>
    <n v="2"/>
    <x v="3"/>
    <n v="2"/>
    <x v="1"/>
    <n v="6549"/>
    <n v="3173"/>
    <n v="1"/>
    <s v="Y"/>
    <x v="1"/>
    <n v="14"/>
    <n v="3"/>
    <n v="2"/>
    <n v="80"/>
    <n v="2"/>
    <n v="8"/>
    <n v="2"/>
    <n v="2"/>
    <x v="3"/>
    <m/>
    <n v="6"/>
    <n v="1"/>
    <n v="7"/>
  </r>
  <r>
    <n v="33"/>
    <x v="1"/>
    <x v="0"/>
    <n v="516"/>
    <x v="1"/>
    <n v="8"/>
    <n v="5"/>
    <x v="0"/>
    <n v="1"/>
    <n v="1515"/>
    <n v="4"/>
    <x v="1"/>
    <n v="69"/>
    <n v="3"/>
    <n v="2"/>
    <x v="4"/>
    <n v="3"/>
    <x v="0"/>
    <n v="6388"/>
    <n v="22049"/>
    <n v="2"/>
    <s v="Y"/>
    <x v="0"/>
    <n v="17"/>
    <n v="3"/>
    <n v="1"/>
    <n v="80"/>
    <n v="0"/>
    <n v="14"/>
    <n v="6"/>
    <n v="3"/>
    <x v="2"/>
    <m/>
    <n v="0"/>
    <n v="0"/>
    <n v="0"/>
  </r>
  <r>
    <n v="32"/>
    <x v="1"/>
    <x v="0"/>
    <n v="495"/>
    <x v="1"/>
    <n v="10"/>
    <n v="3"/>
    <x v="2"/>
    <n v="1"/>
    <n v="1516"/>
    <n v="3"/>
    <x v="1"/>
    <n v="64"/>
    <n v="3"/>
    <n v="3"/>
    <x v="5"/>
    <n v="4"/>
    <x v="0"/>
    <n v="11244"/>
    <n v="21072"/>
    <n v="2"/>
    <s v="Y"/>
    <x v="1"/>
    <n v="25"/>
    <n v="4"/>
    <n v="2"/>
    <n v="80"/>
    <n v="0"/>
    <n v="10"/>
    <n v="5"/>
    <n v="4"/>
    <x v="8"/>
    <m/>
    <n v="2"/>
    <n v="0"/>
    <n v="0"/>
  </r>
  <r>
    <n v="54"/>
    <x v="1"/>
    <x v="1"/>
    <n v="1050"/>
    <x v="1"/>
    <n v="11"/>
    <n v="4"/>
    <x v="2"/>
    <n v="1"/>
    <n v="1520"/>
    <n v="2"/>
    <x v="0"/>
    <n v="87"/>
    <n v="3"/>
    <n v="4"/>
    <x v="5"/>
    <n v="4"/>
    <x v="2"/>
    <n v="16032"/>
    <n v="24456"/>
    <n v="3"/>
    <s v="Y"/>
    <x v="1"/>
    <n v="20"/>
    <n v="4"/>
    <n v="1"/>
    <n v="80"/>
    <n v="1"/>
    <n v="26"/>
    <n v="2"/>
    <n v="3"/>
    <x v="13"/>
    <m/>
    <n v="9"/>
    <n v="1"/>
    <n v="12"/>
  </r>
  <r>
    <n v="29"/>
    <x v="0"/>
    <x v="0"/>
    <n v="224"/>
    <x v="1"/>
    <n v="1"/>
    <n v="4"/>
    <x v="4"/>
    <n v="1"/>
    <n v="1522"/>
    <n v="1"/>
    <x v="1"/>
    <n v="100"/>
    <n v="2"/>
    <n v="1"/>
    <x v="1"/>
    <n v="1"/>
    <x v="0"/>
    <n v="2362"/>
    <n v="7568"/>
    <n v="6"/>
    <s v="Y"/>
    <x v="1"/>
    <n v="13"/>
    <n v="3"/>
    <n v="3"/>
    <n v="80"/>
    <n v="0"/>
    <n v="11"/>
    <n v="2"/>
    <n v="1"/>
    <x v="7"/>
    <m/>
    <n v="7"/>
    <n v="0"/>
    <n v="7"/>
  </r>
  <r>
    <n v="44"/>
    <x v="1"/>
    <x v="0"/>
    <n v="136"/>
    <x v="1"/>
    <n v="28"/>
    <n v="3"/>
    <x v="0"/>
    <n v="1"/>
    <n v="1523"/>
    <n v="4"/>
    <x v="1"/>
    <n v="32"/>
    <n v="3"/>
    <n v="4"/>
    <x v="7"/>
    <n v="1"/>
    <x v="1"/>
    <n v="16328"/>
    <n v="22074"/>
    <n v="3"/>
    <s v="Y"/>
    <x v="1"/>
    <n v="13"/>
    <n v="3"/>
    <n v="3"/>
    <n v="80"/>
    <n v="1"/>
    <n v="24"/>
    <n v="1"/>
    <n v="4"/>
    <x v="23"/>
    <m/>
    <n v="6"/>
    <n v="14"/>
    <n v="17"/>
  </r>
  <r>
    <n v="39"/>
    <x v="1"/>
    <x v="0"/>
    <n v="1089"/>
    <x v="1"/>
    <n v="6"/>
    <n v="3"/>
    <x v="0"/>
    <n v="1"/>
    <n v="1525"/>
    <n v="2"/>
    <x v="0"/>
    <n v="32"/>
    <n v="3"/>
    <n v="3"/>
    <x v="3"/>
    <n v="2"/>
    <x v="0"/>
    <n v="8376"/>
    <n v="9150"/>
    <n v="4"/>
    <s v="Y"/>
    <x v="1"/>
    <n v="18"/>
    <n v="3"/>
    <n v="4"/>
    <n v="80"/>
    <n v="0"/>
    <n v="9"/>
    <n v="3"/>
    <n v="3"/>
    <x v="4"/>
    <m/>
    <n v="0"/>
    <n v="2"/>
    <n v="2"/>
  </r>
  <r>
    <n v="46"/>
    <x v="1"/>
    <x v="0"/>
    <n v="228"/>
    <x v="0"/>
    <n v="3"/>
    <n v="3"/>
    <x v="0"/>
    <n v="1"/>
    <n v="1527"/>
    <n v="3"/>
    <x v="0"/>
    <n v="51"/>
    <n v="3"/>
    <n v="4"/>
    <x v="5"/>
    <n v="2"/>
    <x v="1"/>
    <n v="16606"/>
    <n v="11380"/>
    <n v="8"/>
    <s v="Y"/>
    <x v="1"/>
    <n v="12"/>
    <n v="3"/>
    <n v="4"/>
    <n v="80"/>
    <n v="1"/>
    <n v="23"/>
    <n v="2"/>
    <n v="4"/>
    <x v="20"/>
    <m/>
    <n v="12"/>
    <n v="5"/>
    <n v="1"/>
  </r>
  <r>
    <n v="35"/>
    <x v="1"/>
    <x v="0"/>
    <n v="1029"/>
    <x v="1"/>
    <n v="16"/>
    <n v="3"/>
    <x v="0"/>
    <n v="1"/>
    <n v="1529"/>
    <n v="4"/>
    <x v="0"/>
    <n v="91"/>
    <n v="2"/>
    <n v="3"/>
    <x v="4"/>
    <n v="2"/>
    <x v="0"/>
    <n v="8606"/>
    <n v="21195"/>
    <n v="1"/>
    <s v="Y"/>
    <x v="1"/>
    <n v="19"/>
    <n v="3"/>
    <n v="4"/>
    <n v="80"/>
    <n v="0"/>
    <n v="11"/>
    <n v="3"/>
    <n v="1"/>
    <x v="19"/>
    <m/>
    <n v="8"/>
    <n v="3"/>
    <n v="3"/>
  </r>
  <r>
    <n v="23"/>
    <x v="1"/>
    <x v="0"/>
    <n v="507"/>
    <x v="1"/>
    <n v="20"/>
    <n v="1"/>
    <x v="0"/>
    <n v="1"/>
    <n v="1533"/>
    <n v="1"/>
    <x v="1"/>
    <n v="97"/>
    <n v="3"/>
    <n v="2"/>
    <x v="2"/>
    <n v="3"/>
    <x v="0"/>
    <n v="2272"/>
    <n v="24812"/>
    <n v="0"/>
    <s v="Y"/>
    <x v="1"/>
    <n v="14"/>
    <n v="3"/>
    <n v="2"/>
    <n v="80"/>
    <n v="0"/>
    <n v="5"/>
    <n v="2"/>
    <n v="3"/>
    <x v="9"/>
    <m/>
    <n v="3"/>
    <n v="1"/>
    <n v="2"/>
  </r>
  <r>
    <n v="40"/>
    <x v="0"/>
    <x v="0"/>
    <n v="676"/>
    <x v="1"/>
    <n v="9"/>
    <n v="4"/>
    <x v="0"/>
    <n v="1"/>
    <n v="1534"/>
    <n v="4"/>
    <x v="1"/>
    <n v="86"/>
    <n v="3"/>
    <n v="1"/>
    <x v="2"/>
    <n v="1"/>
    <x v="0"/>
    <n v="2018"/>
    <n v="21831"/>
    <n v="3"/>
    <s v="Y"/>
    <x v="1"/>
    <n v="14"/>
    <n v="3"/>
    <n v="2"/>
    <n v="80"/>
    <n v="0"/>
    <n v="15"/>
    <n v="3"/>
    <n v="1"/>
    <x v="8"/>
    <m/>
    <n v="4"/>
    <n v="1"/>
    <n v="0"/>
  </r>
  <r>
    <n v="34"/>
    <x v="1"/>
    <x v="0"/>
    <n v="971"/>
    <x v="0"/>
    <n v="1"/>
    <n v="3"/>
    <x v="4"/>
    <n v="1"/>
    <n v="1535"/>
    <n v="4"/>
    <x v="1"/>
    <n v="64"/>
    <n v="2"/>
    <n v="3"/>
    <x v="0"/>
    <n v="3"/>
    <x v="1"/>
    <n v="7083"/>
    <n v="12288"/>
    <n v="1"/>
    <s v="Y"/>
    <x v="0"/>
    <n v="14"/>
    <n v="3"/>
    <n v="4"/>
    <n v="80"/>
    <n v="0"/>
    <n v="10"/>
    <n v="3"/>
    <n v="3"/>
    <x v="1"/>
    <m/>
    <n v="9"/>
    <n v="8"/>
    <n v="6"/>
  </r>
  <r>
    <n v="31"/>
    <x v="0"/>
    <x v="1"/>
    <n v="561"/>
    <x v="1"/>
    <n v="3"/>
    <n v="3"/>
    <x v="0"/>
    <n v="1"/>
    <n v="1537"/>
    <n v="4"/>
    <x v="0"/>
    <n v="33"/>
    <n v="3"/>
    <n v="1"/>
    <x v="1"/>
    <n v="3"/>
    <x v="0"/>
    <n v="4084"/>
    <n v="4156"/>
    <n v="1"/>
    <s v="Y"/>
    <x v="1"/>
    <n v="12"/>
    <n v="3"/>
    <n v="1"/>
    <n v="80"/>
    <n v="0"/>
    <n v="7"/>
    <n v="2"/>
    <n v="1"/>
    <x v="5"/>
    <m/>
    <n v="2"/>
    <n v="7"/>
    <n v="7"/>
  </r>
  <r>
    <n v="50"/>
    <x v="1"/>
    <x v="1"/>
    <n v="333"/>
    <x v="1"/>
    <n v="22"/>
    <n v="5"/>
    <x v="2"/>
    <n v="1"/>
    <n v="1539"/>
    <n v="3"/>
    <x v="1"/>
    <n v="88"/>
    <n v="1"/>
    <n v="4"/>
    <x v="7"/>
    <n v="4"/>
    <x v="0"/>
    <n v="14411"/>
    <n v="24450"/>
    <n v="1"/>
    <s v="Y"/>
    <x v="0"/>
    <n v="13"/>
    <n v="3"/>
    <n v="4"/>
    <n v="80"/>
    <n v="0"/>
    <n v="32"/>
    <n v="2"/>
    <n v="3"/>
    <x v="32"/>
    <m/>
    <n v="6"/>
    <n v="13"/>
    <n v="9"/>
  </r>
  <r>
    <n v="34"/>
    <x v="1"/>
    <x v="0"/>
    <n v="1440"/>
    <x v="0"/>
    <n v="7"/>
    <n v="2"/>
    <x v="4"/>
    <n v="1"/>
    <n v="1541"/>
    <n v="2"/>
    <x v="1"/>
    <n v="55"/>
    <n v="3"/>
    <n v="1"/>
    <x v="6"/>
    <n v="3"/>
    <x v="1"/>
    <n v="2308"/>
    <n v="4944"/>
    <n v="0"/>
    <s v="Y"/>
    <x v="0"/>
    <n v="25"/>
    <n v="4"/>
    <n v="2"/>
    <n v="80"/>
    <n v="1"/>
    <n v="12"/>
    <n v="4"/>
    <n v="3"/>
    <x v="19"/>
    <m/>
    <n v="10"/>
    <n v="5"/>
    <n v="7"/>
  </r>
  <r>
    <n v="42"/>
    <x v="1"/>
    <x v="0"/>
    <n v="1210"/>
    <x v="1"/>
    <n v="2"/>
    <n v="3"/>
    <x v="2"/>
    <n v="1"/>
    <n v="1542"/>
    <n v="3"/>
    <x v="1"/>
    <n v="68"/>
    <n v="2"/>
    <n v="1"/>
    <x v="2"/>
    <n v="2"/>
    <x v="1"/>
    <n v="4841"/>
    <n v="24052"/>
    <n v="4"/>
    <s v="Y"/>
    <x v="1"/>
    <n v="14"/>
    <n v="3"/>
    <n v="2"/>
    <n v="80"/>
    <n v="1"/>
    <n v="4"/>
    <n v="3"/>
    <n v="3"/>
    <x v="6"/>
    <m/>
    <n v="0"/>
    <n v="0"/>
    <n v="0"/>
  </r>
  <r>
    <n v="37"/>
    <x v="1"/>
    <x v="0"/>
    <n v="674"/>
    <x v="1"/>
    <n v="13"/>
    <n v="3"/>
    <x v="2"/>
    <n v="1"/>
    <n v="1543"/>
    <n v="1"/>
    <x v="1"/>
    <n v="47"/>
    <n v="3"/>
    <n v="2"/>
    <x v="1"/>
    <n v="4"/>
    <x v="1"/>
    <n v="4285"/>
    <n v="3031"/>
    <n v="1"/>
    <s v="Y"/>
    <x v="1"/>
    <n v="17"/>
    <n v="3"/>
    <n v="1"/>
    <n v="80"/>
    <n v="0"/>
    <n v="10"/>
    <n v="2"/>
    <n v="3"/>
    <x v="1"/>
    <m/>
    <n v="8"/>
    <n v="3"/>
    <n v="7"/>
  </r>
  <r>
    <n v="29"/>
    <x v="1"/>
    <x v="0"/>
    <n v="441"/>
    <x v="1"/>
    <n v="8"/>
    <n v="1"/>
    <x v="1"/>
    <n v="1"/>
    <n v="1544"/>
    <n v="3"/>
    <x v="0"/>
    <n v="39"/>
    <n v="1"/>
    <n v="2"/>
    <x v="4"/>
    <n v="1"/>
    <x v="1"/>
    <n v="9715"/>
    <n v="7288"/>
    <n v="3"/>
    <s v="Y"/>
    <x v="1"/>
    <n v="13"/>
    <n v="3"/>
    <n v="3"/>
    <n v="80"/>
    <n v="1"/>
    <n v="9"/>
    <n v="3"/>
    <n v="3"/>
    <x v="5"/>
    <m/>
    <n v="7"/>
    <n v="0"/>
    <n v="7"/>
  </r>
  <r>
    <n v="33"/>
    <x v="1"/>
    <x v="0"/>
    <n v="575"/>
    <x v="1"/>
    <n v="25"/>
    <n v="3"/>
    <x v="0"/>
    <n v="1"/>
    <n v="1545"/>
    <n v="4"/>
    <x v="1"/>
    <n v="44"/>
    <n v="2"/>
    <n v="2"/>
    <x v="3"/>
    <n v="2"/>
    <x v="0"/>
    <n v="4320"/>
    <n v="24152"/>
    <n v="1"/>
    <s v="Y"/>
    <x v="1"/>
    <n v="13"/>
    <n v="3"/>
    <n v="4"/>
    <n v="80"/>
    <n v="0"/>
    <n v="5"/>
    <n v="2"/>
    <n v="3"/>
    <x v="8"/>
    <m/>
    <n v="3"/>
    <n v="0"/>
    <n v="2"/>
  </r>
  <r>
    <n v="45"/>
    <x v="1"/>
    <x v="0"/>
    <n v="950"/>
    <x v="1"/>
    <n v="28"/>
    <n v="3"/>
    <x v="4"/>
    <n v="1"/>
    <n v="1546"/>
    <n v="4"/>
    <x v="1"/>
    <n v="97"/>
    <n v="3"/>
    <n v="1"/>
    <x v="1"/>
    <n v="4"/>
    <x v="1"/>
    <n v="2132"/>
    <n v="4585"/>
    <n v="4"/>
    <s v="Y"/>
    <x v="1"/>
    <n v="20"/>
    <n v="4"/>
    <n v="4"/>
    <n v="80"/>
    <n v="1"/>
    <n v="8"/>
    <n v="3"/>
    <n v="3"/>
    <x v="8"/>
    <m/>
    <n v="4"/>
    <n v="0"/>
    <n v="3"/>
  </r>
  <r>
    <n v="42"/>
    <x v="1"/>
    <x v="1"/>
    <n v="288"/>
    <x v="1"/>
    <n v="2"/>
    <n v="3"/>
    <x v="0"/>
    <n v="1"/>
    <n v="1547"/>
    <n v="4"/>
    <x v="1"/>
    <n v="40"/>
    <n v="3"/>
    <n v="3"/>
    <x v="4"/>
    <n v="4"/>
    <x v="1"/>
    <n v="10124"/>
    <n v="18611"/>
    <n v="2"/>
    <s v="Y"/>
    <x v="0"/>
    <n v="14"/>
    <n v="3"/>
    <n v="3"/>
    <n v="80"/>
    <n v="1"/>
    <n v="24"/>
    <n v="3"/>
    <n v="1"/>
    <x v="23"/>
    <m/>
    <n v="8"/>
    <n v="13"/>
    <n v="9"/>
  </r>
  <r>
    <n v="40"/>
    <x v="1"/>
    <x v="0"/>
    <n v="1342"/>
    <x v="0"/>
    <n v="9"/>
    <n v="2"/>
    <x v="2"/>
    <n v="1"/>
    <n v="1548"/>
    <n v="1"/>
    <x v="1"/>
    <n v="47"/>
    <n v="3"/>
    <n v="2"/>
    <x v="0"/>
    <n v="1"/>
    <x v="1"/>
    <n v="5473"/>
    <n v="19345"/>
    <n v="0"/>
    <s v="Y"/>
    <x v="1"/>
    <n v="12"/>
    <n v="3"/>
    <n v="4"/>
    <n v="80"/>
    <n v="0"/>
    <n v="9"/>
    <n v="5"/>
    <n v="4"/>
    <x v="3"/>
    <m/>
    <n v="4"/>
    <n v="7"/>
    <n v="1"/>
  </r>
  <r>
    <n v="33"/>
    <x v="1"/>
    <x v="0"/>
    <n v="589"/>
    <x v="1"/>
    <n v="28"/>
    <n v="4"/>
    <x v="0"/>
    <n v="1"/>
    <n v="1549"/>
    <n v="2"/>
    <x v="1"/>
    <n v="79"/>
    <n v="3"/>
    <n v="2"/>
    <x v="2"/>
    <n v="3"/>
    <x v="1"/>
    <n v="5207"/>
    <n v="22949"/>
    <n v="1"/>
    <s v="Y"/>
    <x v="0"/>
    <n v="12"/>
    <n v="3"/>
    <n v="2"/>
    <n v="80"/>
    <n v="1"/>
    <n v="15"/>
    <n v="3"/>
    <n v="3"/>
    <x v="15"/>
    <m/>
    <n v="14"/>
    <n v="5"/>
    <n v="7"/>
  </r>
  <r>
    <n v="40"/>
    <x v="1"/>
    <x v="0"/>
    <n v="898"/>
    <x v="2"/>
    <n v="6"/>
    <n v="2"/>
    <x v="2"/>
    <n v="1"/>
    <n v="1550"/>
    <n v="3"/>
    <x v="1"/>
    <n v="38"/>
    <n v="3"/>
    <n v="4"/>
    <x v="5"/>
    <n v="4"/>
    <x v="0"/>
    <n v="16437"/>
    <n v="17381"/>
    <n v="1"/>
    <s v="Y"/>
    <x v="0"/>
    <n v="21"/>
    <n v="4"/>
    <n v="4"/>
    <n v="80"/>
    <n v="0"/>
    <n v="21"/>
    <n v="2"/>
    <n v="3"/>
    <x v="17"/>
    <m/>
    <n v="7"/>
    <n v="7"/>
    <n v="7"/>
  </r>
  <r>
    <n v="24"/>
    <x v="1"/>
    <x v="0"/>
    <n v="350"/>
    <x v="1"/>
    <n v="21"/>
    <n v="2"/>
    <x v="4"/>
    <n v="1"/>
    <n v="1551"/>
    <n v="3"/>
    <x v="1"/>
    <n v="57"/>
    <n v="2"/>
    <n v="1"/>
    <x v="2"/>
    <n v="1"/>
    <x v="2"/>
    <n v="2296"/>
    <n v="10036"/>
    <n v="0"/>
    <s v="Y"/>
    <x v="1"/>
    <n v="14"/>
    <n v="3"/>
    <n v="2"/>
    <n v="80"/>
    <n v="3"/>
    <n v="2"/>
    <n v="3"/>
    <n v="3"/>
    <x v="6"/>
    <m/>
    <n v="1"/>
    <n v="0"/>
    <n v="0"/>
  </r>
  <r>
    <n v="40"/>
    <x v="1"/>
    <x v="2"/>
    <n v="1142"/>
    <x v="1"/>
    <n v="8"/>
    <n v="2"/>
    <x v="0"/>
    <n v="1"/>
    <n v="1552"/>
    <n v="4"/>
    <x v="1"/>
    <n v="72"/>
    <n v="3"/>
    <n v="2"/>
    <x v="4"/>
    <n v="4"/>
    <x v="2"/>
    <n v="4069"/>
    <n v="8841"/>
    <n v="3"/>
    <s v="Y"/>
    <x v="0"/>
    <n v="18"/>
    <n v="3"/>
    <n v="3"/>
    <n v="80"/>
    <n v="0"/>
    <n v="8"/>
    <n v="2"/>
    <n v="3"/>
    <x v="4"/>
    <m/>
    <n v="2"/>
    <n v="2"/>
    <n v="2"/>
  </r>
  <r>
    <n v="45"/>
    <x v="1"/>
    <x v="0"/>
    <n v="538"/>
    <x v="1"/>
    <n v="1"/>
    <n v="4"/>
    <x v="4"/>
    <n v="1"/>
    <n v="1553"/>
    <n v="1"/>
    <x v="1"/>
    <n v="66"/>
    <n v="3"/>
    <n v="3"/>
    <x v="4"/>
    <n v="2"/>
    <x v="2"/>
    <n v="7441"/>
    <n v="20933"/>
    <n v="1"/>
    <s v="Y"/>
    <x v="1"/>
    <n v="12"/>
    <n v="3"/>
    <n v="1"/>
    <n v="80"/>
    <n v="3"/>
    <n v="10"/>
    <n v="4"/>
    <n v="3"/>
    <x v="1"/>
    <m/>
    <n v="8"/>
    <n v="7"/>
    <n v="7"/>
  </r>
  <r>
    <n v="35"/>
    <x v="1"/>
    <x v="0"/>
    <n v="1402"/>
    <x v="0"/>
    <n v="28"/>
    <n v="4"/>
    <x v="0"/>
    <n v="1"/>
    <n v="1554"/>
    <n v="2"/>
    <x v="0"/>
    <n v="98"/>
    <n v="2"/>
    <n v="1"/>
    <x v="6"/>
    <n v="3"/>
    <x v="1"/>
    <n v="2430"/>
    <n v="26204"/>
    <n v="0"/>
    <s v="Y"/>
    <x v="1"/>
    <n v="23"/>
    <n v="4"/>
    <n v="1"/>
    <n v="80"/>
    <n v="2"/>
    <n v="6"/>
    <n v="5"/>
    <n v="3"/>
    <x v="8"/>
    <m/>
    <n v="3"/>
    <n v="4"/>
    <n v="2"/>
  </r>
  <r>
    <n v="32"/>
    <x v="1"/>
    <x v="0"/>
    <n v="824"/>
    <x v="1"/>
    <n v="5"/>
    <n v="2"/>
    <x v="0"/>
    <n v="1"/>
    <n v="1555"/>
    <n v="4"/>
    <x v="0"/>
    <n v="67"/>
    <n v="2"/>
    <n v="2"/>
    <x v="1"/>
    <n v="2"/>
    <x v="1"/>
    <n v="5878"/>
    <n v="15624"/>
    <n v="3"/>
    <s v="Y"/>
    <x v="1"/>
    <n v="12"/>
    <n v="3"/>
    <n v="1"/>
    <n v="80"/>
    <n v="1"/>
    <n v="12"/>
    <n v="2"/>
    <n v="3"/>
    <x v="5"/>
    <m/>
    <n v="1"/>
    <n v="2"/>
    <n v="5"/>
  </r>
  <r>
    <n v="36"/>
    <x v="1"/>
    <x v="0"/>
    <n v="1157"/>
    <x v="0"/>
    <n v="2"/>
    <n v="4"/>
    <x v="0"/>
    <n v="1"/>
    <n v="1556"/>
    <n v="3"/>
    <x v="1"/>
    <n v="70"/>
    <n v="3"/>
    <n v="1"/>
    <x v="6"/>
    <n v="4"/>
    <x v="0"/>
    <n v="2644"/>
    <n v="17001"/>
    <n v="3"/>
    <s v="Y"/>
    <x v="0"/>
    <n v="21"/>
    <n v="4"/>
    <n v="4"/>
    <n v="80"/>
    <n v="0"/>
    <n v="7"/>
    <n v="3"/>
    <n v="2"/>
    <x v="11"/>
    <m/>
    <n v="2"/>
    <n v="1"/>
    <n v="2"/>
  </r>
  <r>
    <n v="48"/>
    <x v="1"/>
    <x v="0"/>
    <n v="492"/>
    <x v="0"/>
    <n v="16"/>
    <n v="4"/>
    <x v="0"/>
    <n v="1"/>
    <n v="1557"/>
    <n v="3"/>
    <x v="0"/>
    <n v="96"/>
    <n v="3"/>
    <n v="2"/>
    <x v="0"/>
    <n v="3"/>
    <x v="2"/>
    <n v="6439"/>
    <n v="13693"/>
    <n v="8"/>
    <s v="Y"/>
    <x v="1"/>
    <n v="14"/>
    <n v="3"/>
    <n v="3"/>
    <n v="80"/>
    <n v="1"/>
    <n v="18"/>
    <n v="2"/>
    <n v="3"/>
    <x v="3"/>
    <m/>
    <n v="7"/>
    <n v="7"/>
    <n v="7"/>
  </r>
  <r>
    <n v="29"/>
    <x v="1"/>
    <x v="0"/>
    <n v="598"/>
    <x v="1"/>
    <n v="9"/>
    <n v="3"/>
    <x v="0"/>
    <n v="1"/>
    <n v="1558"/>
    <n v="3"/>
    <x v="1"/>
    <n v="91"/>
    <n v="4"/>
    <n v="1"/>
    <x v="1"/>
    <n v="3"/>
    <x v="1"/>
    <n v="2451"/>
    <n v="22376"/>
    <n v="6"/>
    <s v="Y"/>
    <x v="1"/>
    <n v="18"/>
    <n v="3"/>
    <n v="1"/>
    <n v="80"/>
    <n v="2"/>
    <n v="5"/>
    <n v="2"/>
    <n v="2"/>
    <x v="6"/>
    <m/>
    <n v="0"/>
    <n v="0"/>
    <n v="0"/>
  </r>
  <r>
    <n v="33"/>
    <x v="1"/>
    <x v="0"/>
    <n v="1242"/>
    <x v="0"/>
    <n v="8"/>
    <n v="4"/>
    <x v="0"/>
    <n v="1"/>
    <n v="1560"/>
    <n v="1"/>
    <x v="1"/>
    <n v="46"/>
    <n v="3"/>
    <n v="2"/>
    <x v="0"/>
    <n v="1"/>
    <x v="1"/>
    <n v="6392"/>
    <n v="10589"/>
    <n v="2"/>
    <s v="Y"/>
    <x v="1"/>
    <n v="13"/>
    <n v="3"/>
    <n v="4"/>
    <n v="80"/>
    <n v="1"/>
    <n v="8"/>
    <n v="6"/>
    <n v="1"/>
    <x v="4"/>
    <m/>
    <n v="2"/>
    <n v="2"/>
    <n v="2"/>
  </r>
  <r>
    <n v="30"/>
    <x v="0"/>
    <x v="0"/>
    <n v="740"/>
    <x v="0"/>
    <n v="1"/>
    <n v="3"/>
    <x v="0"/>
    <n v="1"/>
    <n v="1562"/>
    <n v="2"/>
    <x v="1"/>
    <n v="64"/>
    <n v="2"/>
    <n v="2"/>
    <x v="0"/>
    <n v="1"/>
    <x v="1"/>
    <n v="9714"/>
    <n v="5323"/>
    <n v="1"/>
    <s v="Y"/>
    <x v="1"/>
    <n v="11"/>
    <n v="3"/>
    <n v="4"/>
    <n v="80"/>
    <n v="1"/>
    <n v="10"/>
    <n v="4"/>
    <n v="3"/>
    <x v="1"/>
    <m/>
    <n v="8"/>
    <n v="6"/>
    <n v="7"/>
  </r>
  <r>
    <n v="38"/>
    <x v="1"/>
    <x v="1"/>
    <n v="888"/>
    <x v="2"/>
    <n v="10"/>
    <n v="4"/>
    <x v="5"/>
    <n v="1"/>
    <n v="1563"/>
    <n v="3"/>
    <x v="1"/>
    <n v="71"/>
    <n v="3"/>
    <n v="2"/>
    <x v="8"/>
    <n v="3"/>
    <x v="1"/>
    <n v="6077"/>
    <n v="14814"/>
    <n v="3"/>
    <s v="Y"/>
    <x v="1"/>
    <n v="11"/>
    <n v="3"/>
    <n v="3"/>
    <n v="80"/>
    <n v="0"/>
    <n v="10"/>
    <n v="2"/>
    <n v="3"/>
    <x v="0"/>
    <m/>
    <n v="3"/>
    <n v="1"/>
    <n v="2"/>
  </r>
  <r>
    <n v="35"/>
    <x v="1"/>
    <x v="0"/>
    <n v="992"/>
    <x v="1"/>
    <n v="1"/>
    <n v="3"/>
    <x v="2"/>
    <n v="1"/>
    <n v="1564"/>
    <n v="4"/>
    <x v="1"/>
    <n v="68"/>
    <n v="2"/>
    <n v="1"/>
    <x v="2"/>
    <n v="1"/>
    <x v="0"/>
    <n v="2450"/>
    <n v="21731"/>
    <n v="1"/>
    <s v="Y"/>
    <x v="1"/>
    <n v="19"/>
    <n v="3"/>
    <n v="2"/>
    <n v="80"/>
    <n v="0"/>
    <n v="3"/>
    <n v="3"/>
    <n v="3"/>
    <x v="11"/>
    <m/>
    <n v="0"/>
    <n v="1"/>
    <n v="2"/>
  </r>
  <r>
    <n v="30"/>
    <x v="1"/>
    <x v="0"/>
    <n v="1288"/>
    <x v="0"/>
    <n v="29"/>
    <n v="4"/>
    <x v="4"/>
    <n v="1"/>
    <n v="1568"/>
    <n v="3"/>
    <x v="1"/>
    <n v="33"/>
    <n v="3"/>
    <n v="3"/>
    <x v="0"/>
    <n v="2"/>
    <x v="1"/>
    <n v="9250"/>
    <n v="17799"/>
    <n v="3"/>
    <s v="Y"/>
    <x v="1"/>
    <n v="12"/>
    <n v="3"/>
    <n v="2"/>
    <n v="80"/>
    <n v="1"/>
    <n v="9"/>
    <n v="3"/>
    <n v="3"/>
    <x v="9"/>
    <m/>
    <n v="2"/>
    <n v="1"/>
    <n v="3"/>
  </r>
  <r>
    <n v="35"/>
    <x v="0"/>
    <x v="0"/>
    <n v="104"/>
    <x v="1"/>
    <n v="2"/>
    <n v="3"/>
    <x v="0"/>
    <n v="1"/>
    <n v="1569"/>
    <n v="1"/>
    <x v="0"/>
    <n v="69"/>
    <n v="3"/>
    <n v="1"/>
    <x v="2"/>
    <n v="1"/>
    <x v="2"/>
    <n v="2074"/>
    <n v="26619"/>
    <n v="1"/>
    <s v="Y"/>
    <x v="0"/>
    <n v="12"/>
    <n v="3"/>
    <n v="4"/>
    <n v="80"/>
    <n v="1"/>
    <n v="1"/>
    <n v="2"/>
    <n v="3"/>
    <x v="6"/>
    <m/>
    <n v="0"/>
    <n v="0"/>
    <n v="0"/>
  </r>
  <r>
    <n v="53"/>
    <x v="0"/>
    <x v="0"/>
    <n v="607"/>
    <x v="1"/>
    <n v="2"/>
    <n v="5"/>
    <x v="4"/>
    <n v="1"/>
    <n v="1572"/>
    <n v="3"/>
    <x v="0"/>
    <n v="78"/>
    <n v="2"/>
    <n v="3"/>
    <x v="3"/>
    <n v="4"/>
    <x v="1"/>
    <n v="10169"/>
    <n v="14618"/>
    <n v="0"/>
    <s v="Y"/>
    <x v="1"/>
    <n v="16"/>
    <n v="3"/>
    <n v="2"/>
    <n v="80"/>
    <n v="1"/>
    <n v="34"/>
    <n v="4"/>
    <n v="3"/>
    <x v="26"/>
    <m/>
    <n v="7"/>
    <n v="1"/>
    <n v="9"/>
  </r>
  <r>
    <n v="38"/>
    <x v="0"/>
    <x v="0"/>
    <n v="903"/>
    <x v="1"/>
    <n v="2"/>
    <n v="3"/>
    <x v="2"/>
    <n v="1"/>
    <n v="1573"/>
    <n v="3"/>
    <x v="1"/>
    <n v="81"/>
    <n v="3"/>
    <n v="2"/>
    <x v="3"/>
    <n v="2"/>
    <x v="1"/>
    <n v="4855"/>
    <n v="7653"/>
    <n v="4"/>
    <s v="Y"/>
    <x v="1"/>
    <n v="11"/>
    <n v="3"/>
    <n v="1"/>
    <n v="80"/>
    <n v="2"/>
    <n v="7"/>
    <n v="2"/>
    <n v="3"/>
    <x v="8"/>
    <m/>
    <n v="2"/>
    <n v="1"/>
    <n v="4"/>
  </r>
  <r>
    <n v="32"/>
    <x v="1"/>
    <x v="2"/>
    <n v="1200"/>
    <x v="1"/>
    <n v="1"/>
    <n v="4"/>
    <x v="4"/>
    <n v="1"/>
    <n v="1574"/>
    <n v="4"/>
    <x v="1"/>
    <n v="62"/>
    <n v="3"/>
    <n v="2"/>
    <x v="1"/>
    <n v="1"/>
    <x v="1"/>
    <n v="4087"/>
    <n v="25174"/>
    <n v="4"/>
    <s v="Y"/>
    <x v="1"/>
    <n v="14"/>
    <n v="3"/>
    <n v="2"/>
    <n v="80"/>
    <n v="1"/>
    <n v="9"/>
    <n v="3"/>
    <n v="2"/>
    <x v="0"/>
    <m/>
    <n v="5"/>
    <n v="1"/>
    <n v="2"/>
  </r>
  <r>
    <n v="48"/>
    <x v="1"/>
    <x v="0"/>
    <n v="1108"/>
    <x v="1"/>
    <n v="15"/>
    <n v="4"/>
    <x v="1"/>
    <n v="1"/>
    <n v="1576"/>
    <n v="3"/>
    <x v="0"/>
    <n v="65"/>
    <n v="3"/>
    <n v="1"/>
    <x v="1"/>
    <n v="1"/>
    <x v="1"/>
    <n v="2367"/>
    <n v="16530"/>
    <n v="8"/>
    <s v="Y"/>
    <x v="1"/>
    <n v="12"/>
    <n v="3"/>
    <n v="4"/>
    <n v="80"/>
    <n v="1"/>
    <n v="10"/>
    <n v="3"/>
    <n v="2"/>
    <x v="3"/>
    <m/>
    <n v="2"/>
    <n v="7"/>
    <n v="6"/>
  </r>
  <r>
    <n v="34"/>
    <x v="1"/>
    <x v="0"/>
    <n v="479"/>
    <x v="1"/>
    <n v="7"/>
    <n v="4"/>
    <x v="2"/>
    <n v="1"/>
    <n v="1577"/>
    <n v="1"/>
    <x v="1"/>
    <n v="35"/>
    <n v="3"/>
    <n v="1"/>
    <x v="1"/>
    <n v="4"/>
    <x v="0"/>
    <n v="2972"/>
    <n v="22061"/>
    <n v="1"/>
    <s v="Y"/>
    <x v="1"/>
    <n v="13"/>
    <n v="3"/>
    <n v="3"/>
    <n v="80"/>
    <n v="0"/>
    <n v="1"/>
    <n v="4"/>
    <n v="1"/>
    <x v="6"/>
    <m/>
    <n v="0"/>
    <n v="0"/>
    <n v="0"/>
  </r>
  <r>
    <n v="55"/>
    <x v="1"/>
    <x v="0"/>
    <n v="685"/>
    <x v="0"/>
    <n v="26"/>
    <n v="5"/>
    <x v="3"/>
    <n v="1"/>
    <n v="1578"/>
    <n v="3"/>
    <x v="1"/>
    <n v="60"/>
    <n v="2"/>
    <n v="5"/>
    <x v="5"/>
    <n v="4"/>
    <x v="1"/>
    <n v="19586"/>
    <n v="23037"/>
    <n v="1"/>
    <s v="Y"/>
    <x v="1"/>
    <n v="21"/>
    <n v="4"/>
    <n v="3"/>
    <n v="80"/>
    <n v="1"/>
    <n v="36"/>
    <n v="3"/>
    <n v="3"/>
    <x v="28"/>
    <m/>
    <n v="6"/>
    <n v="2"/>
    <n v="13"/>
  </r>
  <r>
    <n v="34"/>
    <x v="1"/>
    <x v="0"/>
    <n v="1351"/>
    <x v="1"/>
    <n v="1"/>
    <n v="4"/>
    <x v="0"/>
    <n v="1"/>
    <n v="1580"/>
    <n v="2"/>
    <x v="1"/>
    <n v="45"/>
    <n v="3"/>
    <n v="2"/>
    <x v="1"/>
    <n v="4"/>
    <x v="1"/>
    <n v="5484"/>
    <n v="13008"/>
    <n v="9"/>
    <s v="Y"/>
    <x v="1"/>
    <n v="17"/>
    <n v="3"/>
    <n v="2"/>
    <n v="80"/>
    <n v="1"/>
    <n v="9"/>
    <n v="3"/>
    <n v="2"/>
    <x v="4"/>
    <m/>
    <n v="2"/>
    <n v="2"/>
    <n v="1"/>
  </r>
  <r>
    <n v="26"/>
    <x v="1"/>
    <x v="0"/>
    <n v="474"/>
    <x v="1"/>
    <n v="3"/>
    <n v="3"/>
    <x v="0"/>
    <n v="1"/>
    <n v="1581"/>
    <n v="1"/>
    <x v="0"/>
    <n v="89"/>
    <n v="3"/>
    <n v="1"/>
    <x v="1"/>
    <n v="4"/>
    <x v="1"/>
    <n v="2061"/>
    <n v="11133"/>
    <n v="1"/>
    <s v="Y"/>
    <x v="1"/>
    <n v="21"/>
    <n v="4"/>
    <n v="1"/>
    <n v="80"/>
    <n v="0"/>
    <n v="1"/>
    <n v="5"/>
    <n v="3"/>
    <x v="6"/>
    <m/>
    <n v="0"/>
    <n v="0"/>
    <n v="0"/>
  </r>
  <r>
    <n v="38"/>
    <x v="1"/>
    <x v="0"/>
    <n v="1245"/>
    <x v="0"/>
    <n v="14"/>
    <n v="3"/>
    <x v="0"/>
    <n v="1"/>
    <n v="1582"/>
    <n v="3"/>
    <x v="1"/>
    <n v="80"/>
    <n v="3"/>
    <n v="2"/>
    <x v="0"/>
    <n v="2"/>
    <x v="1"/>
    <n v="9924"/>
    <n v="12355"/>
    <n v="0"/>
    <s v="Y"/>
    <x v="1"/>
    <n v="11"/>
    <n v="3"/>
    <n v="4"/>
    <n v="80"/>
    <n v="1"/>
    <n v="10"/>
    <n v="3"/>
    <n v="3"/>
    <x v="7"/>
    <m/>
    <n v="8"/>
    <n v="7"/>
    <n v="7"/>
  </r>
  <r>
    <n v="38"/>
    <x v="1"/>
    <x v="0"/>
    <n v="437"/>
    <x v="0"/>
    <n v="16"/>
    <n v="3"/>
    <x v="0"/>
    <n v="1"/>
    <n v="1583"/>
    <n v="2"/>
    <x v="0"/>
    <n v="90"/>
    <n v="3"/>
    <n v="2"/>
    <x v="0"/>
    <n v="2"/>
    <x v="0"/>
    <n v="4198"/>
    <n v="16379"/>
    <n v="2"/>
    <s v="Y"/>
    <x v="1"/>
    <n v="12"/>
    <n v="3"/>
    <n v="2"/>
    <n v="80"/>
    <n v="0"/>
    <n v="8"/>
    <n v="5"/>
    <n v="4"/>
    <x v="11"/>
    <m/>
    <n v="2"/>
    <n v="1"/>
    <n v="2"/>
  </r>
  <r>
    <n v="36"/>
    <x v="1"/>
    <x v="0"/>
    <n v="884"/>
    <x v="0"/>
    <n v="1"/>
    <n v="4"/>
    <x v="0"/>
    <n v="1"/>
    <n v="1585"/>
    <n v="2"/>
    <x v="0"/>
    <n v="73"/>
    <n v="3"/>
    <n v="2"/>
    <x v="0"/>
    <n v="3"/>
    <x v="0"/>
    <n v="6815"/>
    <n v="21447"/>
    <n v="6"/>
    <s v="Y"/>
    <x v="1"/>
    <n v="13"/>
    <n v="3"/>
    <n v="1"/>
    <n v="80"/>
    <n v="0"/>
    <n v="15"/>
    <n v="5"/>
    <n v="3"/>
    <x v="6"/>
    <m/>
    <n v="0"/>
    <n v="0"/>
    <n v="0"/>
  </r>
  <r>
    <n v="29"/>
    <x v="1"/>
    <x v="0"/>
    <n v="1370"/>
    <x v="1"/>
    <n v="3"/>
    <n v="1"/>
    <x v="2"/>
    <n v="1"/>
    <n v="1586"/>
    <n v="2"/>
    <x v="1"/>
    <n v="87"/>
    <n v="3"/>
    <n v="1"/>
    <x v="2"/>
    <n v="1"/>
    <x v="0"/>
    <n v="4723"/>
    <n v="16213"/>
    <n v="1"/>
    <s v="Y"/>
    <x v="0"/>
    <n v="18"/>
    <n v="3"/>
    <n v="4"/>
    <n v="80"/>
    <n v="0"/>
    <n v="10"/>
    <n v="3"/>
    <n v="3"/>
    <x v="1"/>
    <m/>
    <n v="9"/>
    <n v="1"/>
    <n v="5"/>
  </r>
  <r>
    <n v="35"/>
    <x v="1"/>
    <x v="0"/>
    <n v="670"/>
    <x v="1"/>
    <n v="10"/>
    <n v="4"/>
    <x v="2"/>
    <n v="1"/>
    <n v="1587"/>
    <n v="1"/>
    <x v="0"/>
    <n v="51"/>
    <n v="3"/>
    <n v="2"/>
    <x v="4"/>
    <n v="3"/>
    <x v="0"/>
    <n v="6142"/>
    <n v="4223"/>
    <n v="3"/>
    <s v="Y"/>
    <x v="0"/>
    <n v="16"/>
    <n v="3"/>
    <n v="3"/>
    <n v="80"/>
    <n v="0"/>
    <n v="10"/>
    <n v="4"/>
    <n v="3"/>
    <x v="8"/>
    <m/>
    <n v="2"/>
    <n v="0"/>
    <n v="4"/>
  </r>
  <r>
    <n v="39"/>
    <x v="1"/>
    <x v="0"/>
    <n v="1462"/>
    <x v="0"/>
    <n v="6"/>
    <n v="3"/>
    <x v="2"/>
    <n v="1"/>
    <n v="1588"/>
    <n v="4"/>
    <x v="1"/>
    <n v="38"/>
    <n v="4"/>
    <n v="3"/>
    <x v="0"/>
    <n v="3"/>
    <x v="1"/>
    <n v="8237"/>
    <n v="4658"/>
    <n v="2"/>
    <s v="Y"/>
    <x v="1"/>
    <n v="11"/>
    <n v="3"/>
    <n v="1"/>
    <n v="80"/>
    <n v="1"/>
    <n v="11"/>
    <n v="3"/>
    <n v="3"/>
    <x v="5"/>
    <m/>
    <n v="6"/>
    <n v="7"/>
    <n v="6"/>
  </r>
  <r>
    <n v="29"/>
    <x v="1"/>
    <x v="1"/>
    <n v="995"/>
    <x v="1"/>
    <n v="2"/>
    <n v="1"/>
    <x v="0"/>
    <n v="1"/>
    <n v="1590"/>
    <n v="1"/>
    <x v="1"/>
    <n v="87"/>
    <n v="3"/>
    <n v="2"/>
    <x v="4"/>
    <n v="4"/>
    <x v="2"/>
    <n v="8853"/>
    <n v="24483"/>
    <n v="1"/>
    <s v="Y"/>
    <x v="1"/>
    <n v="19"/>
    <n v="3"/>
    <n v="4"/>
    <n v="80"/>
    <n v="1"/>
    <n v="6"/>
    <n v="0"/>
    <n v="4"/>
    <x v="0"/>
    <m/>
    <n v="4"/>
    <n v="1"/>
    <n v="3"/>
  </r>
  <r>
    <n v="50"/>
    <x v="1"/>
    <x v="0"/>
    <n v="264"/>
    <x v="0"/>
    <n v="9"/>
    <n v="3"/>
    <x v="3"/>
    <n v="1"/>
    <n v="1591"/>
    <n v="3"/>
    <x v="1"/>
    <n v="59"/>
    <n v="3"/>
    <n v="5"/>
    <x v="5"/>
    <n v="3"/>
    <x v="1"/>
    <n v="19331"/>
    <n v="19519"/>
    <n v="4"/>
    <s v="Y"/>
    <x v="0"/>
    <n v="16"/>
    <n v="3"/>
    <n v="3"/>
    <n v="80"/>
    <n v="1"/>
    <n v="27"/>
    <n v="2"/>
    <n v="3"/>
    <x v="6"/>
    <m/>
    <n v="0"/>
    <n v="0"/>
    <n v="0"/>
  </r>
  <r>
    <n v="23"/>
    <x v="1"/>
    <x v="0"/>
    <n v="977"/>
    <x v="1"/>
    <n v="10"/>
    <n v="3"/>
    <x v="4"/>
    <n v="1"/>
    <n v="1592"/>
    <n v="4"/>
    <x v="1"/>
    <n v="45"/>
    <n v="4"/>
    <n v="1"/>
    <x v="1"/>
    <n v="3"/>
    <x v="1"/>
    <n v="2073"/>
    <n v="12826"/>
    <n v="2"/>
    <s v="Y"/>
    <x v="1"/>
    <n v="16"/>
    <n v="3"/>
    <n v="4"/>
    <n v="80"/>
    <n v="1"/>
    <n v="4"/>
    <n v="2"/>
    <n v="3"/>
    <x v="4"/>
    <m/>
    <n v="2"/>
    <n v="2"/>
    <n v="2"/>
  </r>
  <r>
    <n v="36"/>
    <x v="1"/>
    <x v="1"/>
    <n v="1302"/>
    <x v="1"/>
    <n v="6"/>
    <n v="4"/>
    <x v="0"/>
    <n v="1"/>
    <n v="1594"/>
    <n v="1"/>
    <x v="1"/>
    <n v="80"/>
    <n v="4"/>
    <n v="2"/>
    <x v="2"/>
    <n v="1"/>
    <x v="1"/>
    <n v="5562"/>
    <n v="19711"/>
    <n v="3"/>
    <s v="Y"/>
    <x v="0"/>
    <n v="13"/>
    <n v="3"/>
    <n v="4"/>
    <n v="80"/>
    <n v="1"/>
    <n v="9"/>
    <n v="3"/>
    <n v="3"/>
    <x v="11"/>
    <m/>
    <n v="2"/>
    <n v="0"/>
    <n v="2"/>
  </r>
  <r>
    <n v="42"/>
    <x v="1"/>
    <x v="0"/>
    <n v="1059"/>
    <x v="1"/>
    <n v="9"/>
    <n v="2"/>
    <x v="1"/>
    <n v="1"/>
    <n v="1595"/>
    <n v="4"/>
    <x v="1"/>
    <n v="93"/>
    <n v="2"/>
    <n v="5"/>
    <x v="5"/>
    <n v="4"/>
    <x v="0"/>
    <n v="19613"/>
    <n v="26362"/>
    <n v="8"/>
    <s v="Y"/>
    <x v="1"/>
    <n v="22"/>
    <n v="4"/>
    <n v="4"/>
    <n v="80"/>
    <n v="0"/>
    <n v="24"/>
    <n v="2"/>
    <n v="3"/>
    <x v="6"/>
    <m/>
    <n v="0"/>
    <n v="0"/>
    <n v="1"/>
  </r>
  <r>
    <n v="35"/>
    <x v="1"/>
    <x v="0"/>
    <n v="750"/>
    <x v="1"/>
    <n v="28"/>
    <n v="3"/>
    <x v="0"/>
    <n v="1"/>
    <n v="1596"/>
    <n v="2"/>
    <x v="1"/>
    <n v="46"/>
    <n v="4"/>
    <n v="2"/>
    <x v="2"/>
    <n v="3"/>
    <x v="1"/>
    <n v="3407"/>
    <n v="25348"/>
    <n v="1"/>
    <s v="Y"/>
    <x v="1"/>
    <n v="17"/>
    <n v="3"/>
    <n v="4"/>
    <n v="80"/>
    <n v="2"/>
    <n v="10"/>
    <n v="3"/>
    <n v="2"/>
    <x v="1"/>
    <m/>
    <n v="9"/>
    <n v="6"/>
    <n v="8"/>
  </r>
  <r>
    <n v="34"/>
    <x v="1"/>
    <x v="1"/>
    <n v="653"/>
    <x v="1"/>
    <n v="10"/>
    <n v="4"/>
    <x v="4"/>
    <n v="1"/>
    <n v="1597"/>
    <n v="4"/>
    <x v="1"/>
    <n v="92"/>
    <n v="2"/>
    <n v="2"/>
    <x v="4"/>
    <n v="3"/>
    <x v="1"/>
    <n v="5063"/>
    <n v="15332"/>
    <n v="1"/>
    <s v="Y"/>
    <x v="1"/>
    <n v="14"/>
    <n v="3"/>
    <n v="2"/>
    <n v="80"/>
    <n v="1"/>
    <n v="8"/>
    <n v="3"/>
    <n v="2"/>
    <x v="3"/>
    <m/>
    <n v="2"/>
    <n v="7"/>
    <n v="7"/>
  </r>
  <r>
    <n v="40"/>
    <x v="1"/>
    <x v="0"/>
    <n v="118"/>
    <x v="0"/>
    <n v="14"/>
    <n v="2"/>
    <x v="0"/>
    <n v="1"/>
    <n v="1598"/>
    <n v="4"/>
    <x v="0"/>
    <n v="84"/>
    <n v="3"/>
    <n v="2"/>
    <x v="0"/>
    <n v="1"/>
    <x v="1"/>
    <n v="4639"/>
    <n v="11262"/>
    <n v="1"/>
    <s v="Y"/>
    <x v="1"/>
    <n v="15"/>
    <n v="3"/>
    <n v="3"/>
    <n v="80"/>
    <n v="1"/>
    <n v="5"/>
    <n v="2"/>
    <n v="3"/>
    <x v="8"/>
    <m/>
    <n v="4"/>
    <n v="1"/>
    <n v="2"/>
  </r>
  <r>
    <n v="43"/>
    <x v="1"/>
    <x v="0"/>
    <n v="990"/>
    <x v="1"/>
    <n v="27"/>
    <n v="3"/>
    <x v="4"/>
    <n v="1"/>
    <n v="1599"/>
    <n v="4"/>
    <x v="1"/>
    <n v="87"/>
    <n v="4"/>
    <n v="1"/>
    <x v="2"/>
    <n v="2"/>
    <x v="2"/>
    <n v="4876"/>
    <n v="5855"/>
    <n v="5"/>
    <s v="Y"/>
    <x v="1"/>
    <n v="12"/>
    <n v="3"/>
    <n v="3"/>
    <n v="80"/>
    <n v="1"/>
    <n v="8"/>
    <n v="0"/>
    <n v="3"/>
    <x v="0"/>
    <m/>
    <n v="4"/>
    <n v="0"/>
    <n v="2"/>
  </r>
  <r>
    <n v="35"/>
    <x v="1"/>
    <x v="0"/>
    <n v="1349"/>
    <x v="1"/>
    <n v="7"/>
    <n v="2"/>
    <x v="0"/>
    <n v="1"/>
    <n v="1601"/>
    <n v="3"/>
    <x v="1"/>
    <n v="63"/>
    <n v="2"/>
    <n v="1"/>
    <x v="2"/>
    <n v="4"/>
    <x v="1"/>
    <n v="2690"/>
    <n v="7713"/>
    <n v="1"/>
    <s v="Y"/>
    <x v="1"/>
    <n v="18"/>
    <n v="3"/>
    <n v="4"/>
    <n v="80"/>
    <n v="1"/>
    <n v="1"/>
    <n v="5"/>
    <n v="2"/>
    <x v="6"/>
    <m/>
    <n v="0"/>
    <n v="0"/>
    <n v="1"/>
  </r>
  <r>
    <n v="46"/>
    <x v="1"/>
    <x v="0"/>
    <n v="563"/>
    <x v="0"/>
    <n v="1"/>
    <n v="4"/>
    <x v="0"/>
    <n v="1"/>
    <n v="1602"/>
    <n v="4"/>
    <x v="1"/>
    <n v="56"/>
    <n v="4"/>
    <n v="4"/>
    <x v="5"/>
    <n v="1"/>
    <x v="0"/>
    <n v="17567"/>
    <n v="3156"/>
    <n v="1"/>
    <s v="Y"/>
    <x v="1"/>
    <n v="15"/>
    <n v="3"/>
    <n v="2"/>
    <n v="80"/>
    <n v="0"/>
    <n v="27"/>
    <n v="5"/>
    <n v="1"/>
    <x v="34"/>
    <m/>
    <n v="0"/>
    <n v="0"/>
    <n v="12"/>
  </r>
  <r>
    <n v="28"/>
    <x v="0"/>
    <x v="0"/>
    <n v="329"/>
    <x v="1"/>
    <n v="24"/>
    <n v="3"/>
    <x v="2"/>
    <n v="1"/>
    <n v="1604"/>
    <n v="3"/>
    <x v="1"/>
    <n v="51"/>
    <n v="3"/>
    <n v="1"/>
    <x v="2"/>
    <n v="2"/>
    <x v="1"/>
    <n v="2408"/>
    <n v="7324"/>
    <n v="1"/>
    <s v="Y"/>
    <x v="0"/>
    <n v="17"/>
    <n v="3"/>
    <n v="3"/>
    <n v="80"/>
    <n v="3"/>
    <n v="1"/>
    <n v="3"/>
    <n v="3"/>
    <x v="6"/>
    <m/>
    <n v="1"/>
    <n v="0"/>
    <n v="0"/>
  </r>
  <r>
    <n v="22"/>
    <x v="1"/>
    <x v="2"/>
    <n v="457"/>
    <x v="1"/>
    <n v="26"/>
    <n v="2"/>
    <x v="1"/>
    <n v="1"/>
    <n v="1605"/>
    <n v="2"/>
    <x v="0"/>
    <n v="85"/>
    <n v="2"/>
    <n v="1"/>
    <x v="1"/>
    <n v="3"/>
    <x v="1"/>
    <n v="2814"/>
    <n v="10293"/>
    <n v="1"/>
    <s v="Y"/>
    <x v="0"/>
    <n v="14"/>
    <n v="3"/>
    <n v="2"/>
    <n v="80"/>
    <n v="0"/>
    <n v="4"/>
    <n v="2"/>
    <n v="2"/>
    <x v="9"/>
    <m/>
    <n v="2"/>
    <n v="1"/>
    <n v="3"/>
  </r>
  <r>
    <n v="50"/>
    <x v="1"/>
    <x v="1"/>
    <n v="1234"/>
    <x v="1"/>
    <n v="20"/>
    <n v="5"/>
    <x v="2"/>
    <n v="1"/>
    <n v="1606"/>
    <n v="2"/>
    <x v="1"/>
    <n v="41"/>
    <n v="3"/>
    <n v="4"/>
    <x v="4"/>
    <n v="3"/>
    <x v="1"/>
    <n v="11245"/>
    <n v="20689"/>
    <n v="2"/>
    <s v="Y"/>
    <x v="0"/>
    <n v="15"/>
    <n v="3"/>
    <n v="3"/>
    <n v="80"/>
    <n v="1"/>
    <n v="32"/>
    <n v="3"/>
    <n v="3"/>
    <x v="35"/>
    <m/>
    <n v="8"/>
    <n v="12"/>
    <n v="13"/>
  </r>
  <r>
    <n v="32"/>
    <x v="1"/>
    <x v="0"/>
    <n v="634"/>
    <x v="1"/>
    <n v="5"/>
    <n v="4"/>
    <x v="1"/>
    <n v="1"/>
    <n v="1607"/>
    <n v="2"/>
    <x v="0"/>
    <n v="35"/>
    <n v="4"/>
    <n v="1"/>
    <x v="1"/>
    <n v="4"/>
    <x v="1"/>
    <n v="3312"/>
    <n v="18783"/>
    <n v="3"/>
    <s v="Y"/>
    <x v="1"/>
    <n v="17"/>
    <n v="3"/>
    <n v="4"/>
    <n v="80"/>
    <n v="2"/>
    <n v="6"/>
    <n v="3"/>
    <n v="3"/>
    <x v="11"/>
    <m/>
    <n v="2"/>
    <n v="0"/>
    <n v="2"/>
  </r>
  <r>
    <n v="44"/>
    <x v="1"/>
    <x v="0"/>
    <n v="1313"/>
    <x v="1"/>
    <n v="7"/>
    <n v="3"/>
    <x v="2"/>
    <n v="1"/>
    <n v="1608"/>
    <n v="2"/>
    <x v="0"/>
    <n v="31"/>
    <n v="3"/>
    <n v="5"/>
    <x v="7"/>
    <n v="4"/>
    <x v="2"/>
    <n v="19049"/>
    <n v="3549"/>
    <n v="0"/>
    <s v="Y"/>
    <x v="0"/>
    <n v="14"/>
    <n v="3"/>
    <n v="4"/>
    <n v="80"/>
    <n v="1"/>
    <n v="23"/>
    <n v="4"/>
    <n v="2"/>
    <x v="14"/>
    <m/>
    <n v="7"/>
    <n v="1"/>
    <n v="10"/>
  </r>
  <r>
    <n v="30"/>
    <x v="1"/>
    <x v="0"/>
    <n v="241"/>
    <x v="1"/>
    <n v="7"/>
    <n v="3"/>
    <x v="2"/>
    <n v="1"/>
    <n v="1609"/>
    <n v="2"/>
    <x v="1"/>
    <n v="48"/>
    <n v="2"/>
    <n v="1"/>
    <x v="1"/>
    <n v="2"/>
    <x v="1"/>
    <n v="2141"/>
    <n v="5348"/>
    <n v="1"/>
    <s v="Y"/>
    <x v="1"/>
    <n v="12"/>
    <n v="3"/>
    <n v="2"/>
    <n v="80"/>
    <n v="1"/>
    <n v="6"/>
    <n v="3"/>
    <n v="2"/>
    <x v="0"/>
    <m/>
    <n v="4"/>
    <n v="1"/>
    <n v="1"/>
  </r>
  <r>
    <n v="45"/>
    <x v="1"/>
    <x v="0"/>
    <n v="1015"/>
    <x v="1"/>
    <n v="5"/>
    <n v="5"/>
    <x v="2"/>
    <n v="1"/>
    <n v="1611"/>
    <n v="3"/>
    <x v="0"/>
    <n v="50"/>
    <n v="1"/>
    <n v="2"/>
    <x v="2"/>
    <n v="1"/>
    <x v="0"/>
    <n v="5769"/>
    <n v="23447"/>
    <n v="1"/>
    <s v="Y"/>
    <x v="0"/>
    <n v="14"/>
    <n v="3"/>
    <n v="1"/>
    <n v="80"/>
    <n v="0"/>
    <n v="10"/>
    <n v="3"/>
    <n v="3"/>
    <x v="1"/>
    <m/>
    <n v="7"/>
    <n v="1"/>
    <n v="4"/>
  </r>
  <r>
    <n v="45"/>
    <x v="1"/>
    <x v="2"/>
    <n v="336"/>
    <x v="0"/>
    <n v="26"/>
    <n v="3"/>
    <x v="3"/>
    <n v="1"/>
    <n v="1612"/>
    <n v="1"/>
    <x v="1"/>
    <n v="52"/>
    <n v="2"/>
    <n v="2"/>
    <x v="0"/>
    <n v="1"/>
    <x v="1"/>
    <n v="4385"/>
    <n v="24162"/>
    <n v="1"/>
    <s v="Y"/>
    <x v="1"/>
    <n v="15"/>
    <n v="3"/>
    <n v="1"/>
    <n v="80"/>
    <n v="1"/>
    <n v="10"/>
    <n v="2"/>
    <n v="3"/>
    <x v="1"/>
    <m/>
    <n v="7"/>
    <n v="4"/>
    <n v="5"/>
  </r>
  <r>
    <n v="31"/>
    <x v="1"/>
    <x v="1"/>
    <n v="715"/>
    <x v="0"/>
    <n v="2"/>
    <n v="4"/>
    <x v="1"/>
    <n v="1"/>
    <n v="1613"/>
    <n v="4"/>
    <x v="1"/>
    <n v="54"/>
    <n v="3"/>
    <n v="2"/>
    <x v="0"/>
    <n v="1"/>
    <x v="0"/>
    <n v="5332"/>
    <n v="21602"/>
    <n v="7"/>
    <s v="Y"/>
    <x v="1"/>
    <n v="13"/>
    <n v="3"/>
    <n v="4"/>
    <n v="80"/>
    <n v="0"/>
    <n v="10"/>
    <n v="3"/>
    <n v="3"/>
    <x v="8"/>
    <m/>
    <n v="2"/>
    <n v="0"/>
    <n v="3"/>
  </r>
  <r>
    <n v="36"/>
    <x v="1"/>
    <x v="0"/>
    <n v="559"/>
    <x v="1"/>
    <n v="12"/>
    <n v="4"/>
    <x v="0"/>
    <n v="1"/>
    <n v="1614"/>
    <n v="3"/>
    <x v="0"/>
    <n v="76"/>
    <n v="3"/>
    <n v="2"/>
    <x v="3"/>
    <n v="3"/>
    <x v="1"/>
    <n v="4663"/>
    <n v="12421"/>
    <n v="9"/>
    <s v="Y"/>
    <x v="0"/>
    <n v="12"/>
    <n v="3"/>
    <n v="2"/>
    <n v="80"/>
    <n v="2"/>
    <n v="7"/>
    <n v="2"/>
    <n v="3"/>
    <x v="11"/>
    <m/>
    <n v="2"/>
    <n v="1"/>
    <n v="1"/>
  </r>
  <r>
    <n v="34"/>
    <x v="1"/>
    <x v="1"/>
    <n v="426"/>
    <x v="1"/>
    <n v="10"/>
    <n v="4"/>
    <x v="0"/>
    <n v="1"/>
    <n v="1615"/>
    <n v="3"/>
    <x v="1"/>
    <n v="42"/>
    <n v="4"/>
    <n v="2"/>
    <x v="3"/>
    <n v="4"/>
    <x v="2"/>
    <n v="4724"/>
    <n v="17000"/>
    <n v="1"/>
    <s v="Y"/>
    <x v="1"/>
    <n v="13"/>
    <n v="3"/>
    <n v="1"/>
    <n v="80"/>
    <n v="1"/>
    <n v="9"/>
    <n v="3"/>
    <n v="3"/>
    <x v="7"/>
    <m/>
    <n v="7"/>
    <n v="7"/>
    <n v="2"/>
  </r>
  <r>
    <n v="49"/>
    <x v="1"/>
    <x v="0"/>
    <n v="722"/>
    <x v="1"/>
    <n v="25"/>
    <n v="4"/>
    <x v="0"/>
    <n v="1"/>
    <n v="1617"/>
    <n v="3"/>
    <x v="0"/>
    <n v="84"/>
    <n v="3"/>
    <n v="1"/>
    <x v="2"/>
    <n v="1"/>
    <x v="1"/>
    <n v="3211"/>
    <n v="22102"/>
    <n v="1"/>
    <s v="Y"/>
    <x v="1"/>
    <n v="14"/>
    <n v="3"/>
    <n v="4"/>
    <n v="80"/>
    <n v="1"/>
    <n v="10"/>
    <n v="3"/>
    <n v="2"/>
    <x v="7"/>
    <m/>
    <n v="6"/>
    <n v="1"/>
    <n v="4"/>
  </r>
  <r>
    <n v="39"/>
    <x v="1"/>
    <x v="0"/>
    <n v="1387"/>
    <x v="1"/>
    <n v="10"/>
    <n v="5"/>
    <x v="2"/>
    <n v="1"/>
    <n v="1618"/>
    <n v="2"/>
    <x v="1"/>
    <n v="76"/>
    <n v="3"/>
    <n v="2"/>
    <x v="3"/>
    <n v="1"/>
    <x v="1"/>
    <n v="5377"/>
    <n v="3835"/>
    <n v="2"/>
    <s v="Y"/>
    <x v="1"/>
    <n v="13"/>
    <n v="3"/>
    <n v="4"/>
    <n v="80"/>
    <n v="3"/>
    <n v="10"/>
    <n v="3"/>
    <n v="3"/>
    <x v="5"/>
    <m/>
    <n v="7"/>
    <n v="7"/>
    <n v="7"/>
  </r>
  <r>
    <n v="27"/>
    <x v="1"/>
    <x v="0"/>
    <n v="1302"/>
    <x v="1"/>
    <n v="19"/>
    <n v="3"/>
    <x v="1"/>
    <n v="1"/>
    <n v="1619"/>
    <n v="4"/>
    <x v="1"/>
    <n v="67"/>
    <n v="2"/>
    <n v="1"/>
    <x v="2"/>
    <n v="1"/>
    <x v="2"/>
    <n v="4066"/>
    <n v="16290"/>
    <n v="1"/>
    <s v="Y"/>
    <x v="1"/>
    <n v="11"/>
    <n v="3"/>
    <n v="1"/>
    <n v="80"/>
    <n v="2"/>
    <n v="7"/>
    <n v="3"/>
    <n v="3"/>
    <x v="5"/>
    <m/>
    <n v="7"/>
    <n v="0"/>
    <n v="7"/>
  </r>
  <r>
    <n v="35"/>
    <x v="1"/>
    <x v="0"/>
    <n v="819"/>
    <x v="1"/>
    <n v="18"/>
    <n v="5"/>
    <x v="0"/>
    <n v="1"/>
    <n v="1621"/>
    <n v="2"/>
    <x v="1"/>
    <n v="48"/>
    <n v="4"/>
    <n v="2"/>
    <x v="1"/>
    <n v="1"/>
    <x v="1"/>
    <n v="5208"/>
    <n v="26312"/>
    <n v="1"/>
    <s v="Y"/>
    <x v="1"/>
    <n v="11"/>
    <n v="3"/>
    <n v="4"/>
    <n v="80"/>
    <n v="0"/>
    <n v="16"/>
    <n v="2"/>
    <n v="3"/>
    <x v="22"/>
    <m/>
    <n v="15"/>
    <n v="1"/>
    <n v="10"/>
  </r>
  <r>
    <n v="28"/>
    <x v="1"/>
    <x v="0"/>
    <n v="580"/>
    <x v="1"/>
    <n v="27"/>
    <n v="3"/>
    <x v="2"/>
    <n v="1"/>
    <n v="1622"/>
    <n v="2"/>
    <x v="0"/>
    <n v="39"/>
    <n v="1"/>
    <n v="2"/>
    <x v="3"/>
    <n v="1"/>
    <x v="2"/>
    <n v="4877"/>
    <n v="20460"/>
    <n v="0"/>
    <s v="Y"/>
    <x v="1"/>
    <n v="21"/>
    <n v="4"/>
    <n v="2"/>
    <n v="80"/>
    <n v="1"/>
    <n v="6"/>
    <n v="5"/>
    <n v="2"/>
    <x v="8"/>
    <m/>
    <n v="3"/>
    <n v="0"/>
    <n v="0"/>
  </r>
  <r>
    <n v="21"/>
    <x v="1"/>
    <x v="0"/>
    <n v="546"/>
    <x v="1"/>
    <n v="5"/>
    <n v="1"/>
    <x v="2"/>
    <n v="1"/>
    <n v="1623"/>
    <n v="3"/>
    <x v="1"/>
    <n v="97"/>
    <n v="3"/>
    <n v="1"/>
    <x v="1"/>
    <n v="4"/>
    <x v="0"/>
    <n v="3117"/>
    <n v="26009"/>
    <n v="1"/>
    <s v="Y"/>
    <x v="1"/>
    <n v="18"/>
    <n v="3"/>
    <n v="3"/>
    <n v="80"/>
    <n v="0"/>
    <n v="3"/>
    <n v="2"/>
    <n v="3"/>
    <x v="4"/>
    <m/>
    <n v="2"/>
    <n v="2"/>
    <n v="2"/>
  </r>
  <r>
    <n v="18"/>
    <x v="0"/>
    <x v="1"/>
    <n v="544"/>
    <x v="0"/>
    <n v="3"/>
    <n v="2"/>
    <x v="2"/>
    <n v="1"/>
    <n v="1624"/>
    <n v="2"/>
    <x v="0"/>
    <n v="70"/>
    <n v="3"/>
    <n v="1"/>
    <x v="6"/>
    <n v="4"/>
    <x v="0"/>
    <n v="1569"/>
    <n v="18420"/>
    <n v="1"/>
    <s v="Y"/>
    <x v="0"/>
    <n v="12"/>
    <n v="3"/>
    <n v="3"/>
    <n v="80"/>
    <n v="0"/>
    <n v="0"/>
    <n v="2"/>
    <n v="4"/>
    <x v="2"/>
    <m/>
    <n v="0"/>
    <n v="0"/>
    <n v="0"/>
  </r>
  <r>
    <n v="47"/>
    <x v="1"/>
    <x v="0"/>
    <n v="1176"/>
    <x v="2"/>
    <n v="26"/>
    <n v="4"/>
    <x v="0"/>
    <n v="1"/>
    <n v="1625"/>
    <n v="4"/>
    <x v="0"/>
    <n v="98"/>
    <n v="3"/>
    <n v="5"/>
    <x v="5"/>
    <n v="3"/>
    <x v="1"/>
    <n v="19658"/>
    <n v="5220"/>
    <n v="3"/>
    <s v="Y"/>
    <x v="1"/>
    <n v="11"/>
    <n v="3"/>
    <n v="3"/>
    <n v="80"/>
    <n v="1"/>
    <n v="27"/>
    <n v="2"/>
    <n v="3"/>
    <x v="8"/>
    <m/>
    <n v="2"/>
    <n v="1"/>
    <n v="0"/>
  </r>
  <r>
    <n v="39"/>
    <x v="1"/>
    <x v="0"/>
    <n v="170"/>
    <x v="1"/>
    <n v="3"/>
    <n v="2"/>
    <x v="2"/>
    <n v="1"/>
    <n v="1627"/>
    <n v="3"/>
    <x v="1"/>
    <n v="76"/>
    <n v="2"/>
    <n v="2"/>
    <x v="2"/>
    <n v="3"/>
    <x v="2"/>
    <n v="3069"/>
    <n v="10302"/>
    <n v="0"/>
    <s v="Y"/>
    <x v="1"/>
    <n v="15"/>
    <n v="3"/>
    <n v="4"/>
    <n v="80"/>
    <n v="1"/>
    <n v="11"/>
    <n v="3"/>
    <n v="3"/>
    <x v="1"/>
    <m/>
    <n v="8"/>
    <n v="0"/>
    <n v="7"/>
  </r>
  <r>
    <n v="40"/>
    <x v="1"/>
    <x v="0"/>
    <n v="884"/>
    <x v="1"/>
    <n v="15"/>
    <n v="3"/>
    <x v="0"/>
    <n v="1"/>
    <n v="1628"/>
    <n v="1"/>
    <x v="0"/>
    <n v="80"/>
    <n v="2"/>
    <n v="3"/>
    <x v="3"/>
    <n v="3"/>
    <x v="1"/>
    <n v="10435"/>
    <n v="25800"/>
    <n v="1"/>
    <s v="Y"/>
    <x v="1"/>
    <n v="13"/>
    <n v="3"/>
    <n v="4"/>
    <n v="80"/>
    <n v="2"/>
    <n v="18"/>
    <n v="2"/>
    <n v="3"/>
    <x v="29"/>
    <m/>
    <n v="15"/>
    <n v="14"/>
    <n v="12"/>
  </r>
  <r>
    <n v="35"/>
    <x v="1"/>
    <x v="2"/>
    <n v="208"/>
    <x v="1"/>
    <n v="8"/>
    <n v="4"/>
    <x v="0"/>
    <n v="1"/>
    <n v="1630"/>
    <n v="3"/>
    <x v="0"/>
    <n v="52"/>
    <n v="3"/>
    <n v="2"/>
    <x v="4"/>
    <n v="3"/>
    <x v="1"/>
    <n v="4148"/>
    <n v="12250"/>
    <n v="1"/>
    <s v="Y"/>
    <x v="1"/>
    <n v="12"/>
    <n v="3"/>
    <n v="4"/>
    <n v="80"/>
    <n v="1"/>
    <n v="15"/>
    <n v="5"/>
    <n v="3"/>
    <x v="13"/>
    <m/>
    <n v="11"/>
    <n v="2"/>
    <n v="9"/>
  </r>
  <r>
    <n v="37"/>
    <x v="1"/>
    <x v="0"/>
    <n v="671"/>
    <x v="1"/>
    <n v="19"/>
    <n v="3"/>
    <x v="0"/>
    <n v="1"/>
    <n v="1631"/>
    <n v="3"/>
    <x v="1"/>
    <n v="85"/>
    <n v="3"/>
    <n v="2"/>
    <x v="3"/>
    <n v="3"/>
    <x v="1"/>
    <n v="5768"/>
    <n v="26493"/>
    <n v="3"/>
    <s v="Y"/>
    <x v="1"/>
    <n v="17"/>
    <n v="3"/>
    <n v="1"/>
    <n v="80"/>
    <n v="3"/>
    <n v="9"/>
    <n v="2"/>
    <n v="2"/>
    <x v="9"/>
    <m/>
    <n v="3"/>
    <n v="0"/>
    <n v="2"/>
  </r>
  <r>
    <n v="39"/>
    <x v="1"/>
    <x v="1"/>
    <n v="711"/>
    <x v="1"/>
    <n v="4"/>
    <n v="3"/>
    <x v="2"/>
    <n v="1"/>
    <n v="1633"/>
    <n v="1"/>
    <x v="0"/>
    <n v="81"/>
    <n v="3"/>
    <n v="2"/>
    <x v="3"/>
    <n v="3"/>
    <x v="0"/>
    <n v="5042"/>
    <n v="3140"/>
    <n v="0"/>
    <s v="Y"/>
    <x v="1"/>
    <n v="13"/>
    <n v="3"/>
    <n v="4"/>
    <n v="80"/>
    <n v="0"/>
    <n v="10"/>
    <n v="2"/>
    <n v="1"/>
    <x v="7"/>
    <m/>
    <n v="2"/>
    <n v="3"/>
    <n v="8"/>
  </r>
  <r>
    <n v="45"/>
    <x v="1"/>
    <x v="0"/>
    <n v="1329"/>
    <x v="1"/>
    <n v="2"/>
    <n v="2"/>
    <x v="1"/>
    <n v="1"/>
    <n v="1635"/>
    <n v="4"/>
    <x v="0"/>
    <n v="59"/>
    <n v="2"/>
    <n v="2"/>
    <x v="3"/>
    <n v="4"/>
    <x v="2"/>
    <n v="5770"/>
    <n v="5388"/>
    <n v="1"/>
    <s v="Y"/>
    <x v="1"/>
    <n v="19"/>
    <n v="3"/>
    <n v="1"/>
    <n v="80"/>
    <n v="2"/>
    <n v="10"/>
    <n v="3"/>
    <n v="3"/>
    <x v="1"/>
    <m/>
    <n v="7"/>
    <n v="3"/>
    <n v="9"/>
  </r>
  <r>
    <n v="38"/>
    <x v="1"/>
    <x v="0"/>
    <n v="397"/>
    <x v="1"/>
    <n v="2"/>
    <n v="2"/>
    <x v="2"/>
    <n v="1"/>
    <n v="1638"/>
    <n v="4"/>
    <x v="0"/>
    <n v="54"/>
    <n v="2"/>
    <n v="3"/>
    <x v="3"/>
    <n v="3"/>
    <x v="1"/>
    <n v="7756"/>
    <n v="14199"/>
    <n v="3"/>
    <s v="Y"/>
    <x v="0"/>
    <n v="19"/>
    <n v="3"/>
    <n v="4"/>
    <n v="80"/>
    <n v="1"/>
    <n v="10"/>
    <n v="6"/>
    <n v="4"/>
    <x v="8"/>
    <m/>
    <n v="4"/>
    <n v="0"/>
    <n v="2"/>
  </r>
  <r>
    <n v="35"/>
    <x v="0"/>
    <x v="0"/>
    <n v="737"/>
    <x v="0"/>
    <n v="10"/>
    <n v="3"/>
    <x v="2"/>
    <n v="1"/>
    <n v="1639"/>
    <n v="4"/>
    <x v="1"/>
    <n v="55"/>
    <n v="2"/>
    <n v="3"/>
    <x v="0"/>
    <n v="1"/>
    <x v="1"/>
    <n v="10306"/>
    <n v="21530"/>
    <n v="9"/>
    <s v="Y"/>
    <x v="1"/>
    <n v="17"/>
    <n v="3"/>
    <n v="3"/>
    <n v="80"/>
    <n v="0"/>
    <n v="15"/>
    <n v="3"/>
    <n v="3"/>
    <x v="20"/>
    <m/>
    <n v="12"/>
    <n v="6"/>
    <n v="0"/>
  </r>
  <r>
    <n v="37"/>
    <x v="1"/>
    <x v="0"/>
    <n v="1470"/>
    <x v="1"/>
    <n v="10"/>
    <n v="3"/>
    <x v="2"/>
    <n v="1"/>
    <n v="1640"/>
    <n v="2"/>
    <x v="0"/>
    <n v="71"/>
    <n v="3"/>
    <n v="1"/>
    <x v="1"/>
    <n v="2"/>
    <x v="1"/>
    <n v="3936"/>
    <n v="9953"/>
    <n v="1"/>
    <s v="Y"/>
    <x v="1"/>
    <n v="11"/>
    <n v="3"/>
    <n v="1"/>
    <n v="80"/>
    <n v="1"/>
    <n v="8"/>
    <n v="2"/>
    <n v="1"/>
    <x v="3"/>
    <m/>
    <n v="4"/>
    <n v="7"/>
    <n v="7"/>
  </r>
  <r>
    <n v="40"/>
    <x v="1"/>
    <x v="0"/>
    <n v="448"/>
    <x v="1"/>
    <n v="16"/>
    <n v="3"/>
    <x v="0"/>
    <n v="1"/>
    <n v="1641"/>
    <n v="3"/>
    <x v="0"/>
    <n v="84"/>
    <n v="3"/>
    <n v="3"/>
    <x v="3"/>
    <n v="4"/>
    <x v="0"/>
    <n v="7945"/>
    <n v="19948"/>
    <n v="6"/>
    <s v="Y"/>
    <x v="0"/>
    <n v="15"/>
    <n v="3"/>
    <n v="4"/>
    <n v="80"/>
    <n v="0"/>
    <n v="18"/>
    <n v="2"/>
    <n v="2"/>
    <x v="9"/>
    <m/>
    <n v="2"/>
    <n v="3"/>
    <n v="3"/>
  </r>
  <r>
    <n v="44"/>
    <x v="1"/>
    <x v="1"/>
    <n v="602"/>
    <x v="2"/>
    <n v="1"/>
    <n v="5"/>
    <x v="5"/>
    <n v="1"/>
    <n v="1642"/>
    <n v="1"/>
    <x v="1"/>
    <n v="37"/>
    <n v="3"/>
    <n v="2"/>
    <x v="8"/>
    <n v="4"/>
    <x v="1"/>
    <n v="5743"/>
    <n v="10503"/>
    <n v="4"/>
    <s v="Y"/>
    <x v="0"/>
    <n v="11"/>
    <n v="3"/>
    <n v="3"/>
    <n v="80"/>
    <n v="0"/>
    <n v="14"/>
    <n v="3"/>
    <n v="3"/>
    <x v="1"/>
    <m/>
    <n v="7"/>
    <n v="0"/>
    <n v="2"/>
  </r>
  <r>
    <n v="48"/>
    <x v="1"/>
    <x v="1"/>
    <n v="365"/>
    <x v="1"/>
    <n v="4"/>
    <n v="5"/>
    <x v="2"/>
    <n v="1"/>
    <n v="1644"/>
    <n v="3"/>
    <x v="1"/>
    <n v="89"/>
    <n v="2"/>
    <n v="4"/>
    <x v="5"/>
    <n v="4"/>
    <x v="1"/>
    <n v="15202"/>
    <n v="5602"/>
    <n v="2"/>
    <s v="Y"/>
    <x v="1"/>
    <n v="25"/>
    <n v="4"/>
    <n v="2"/>
    <n v="80"/>
    <n v="1"/>
    <n v="23"/>
    <n v="3"/>
    <n v="3"/>
    <x v="4"/>
    <m/>
    <n v="2"/>
    <n v="2"/>
    <n v="2"/>
  </r>
  <r>
    <n v="35"/>
    <x v="0"/>
    <x v="0"/>
    <n v="763"/>
    <x v="0"/>
    <n v="15"/>
    <n v="2"/>
    <x v="2"/>
    <n v="1"/>
    <n v="1645"/>
    <n v="1"/>
    <x v="1"/>
    <n v="59"/>
    <n v="1"/>
    <n v="2"/>
    <x v="0"/>
    <n v="4"/>
    <x v="2"/>
    <n v="5440"/>
    <n v="22098"/>
    <n v="6"/>
    <s v="Y"/>
    <x v="0"/>
    <n v="14"/>
    <n v="3"/>
    <n v="4"/>
    <n v="80"/>
    <n v="2"/>
    <n v="7"/>
    <n v="2"/>
    <n v="2"/>
    <x v="4"/>
    <m/>
    <n v="2"/>
    <n v="2"/>
    <n v="2"/>
  </r>
  <r>
    <n v="24"/>
    <x v="1"/>
    <x v="1"/>
    <n v="567"/>
    <x v="1"/>
    <n v="2"/>
    <n v="1"/>
    <x v="4"/>
    <n v="1"/>
    <n v="1646"/>
    <n v="1"/>
    <x v="0"/>
    <n v="32"/>
    <n v="3"/>
    <n v="1"/>
    <x v="1"/>
    <n v="4"/>
    <x v="0"/>
    <n v="3760"/>
    <n v="17218"/>
    <n v="1"/>
    <s v="Y"/>
    <x v="0"/>
    <n v="13"/>
    <n v="3"/>
    <n v="3"/>
    <n v="80"/>
    <n v="0"/>
    <n v="6"/>
    <n v="2"/>
    <n v="3"/>
    <x v="0"/>
    <m/>
    <n v="3"/>
    <n v="1"/>
    <n v="3"/>
  </r>
  <r>
    <n v="27"/>
    <x v="1"/>
    <x v="0"/>
    <n v="486"/>
    <x v="1"/>
    <n v="8"/>
    <n v="3"/>
    <x v="2"/>
    <n v="1"/>
    <n v="1647"/>
    <n v="2"/>
    <x v="0"/>
    <n v="86"/>
    <n v="4"/>
    <n v="1"/>
    <x v="1"/>
    <n v="3"/>
    <x v="1"/>
    <n v="3517"/>
    <n v="22490"/>
    <n v="7"/>
    <s v="Y"/>
    <x v="1"/>
    <n v="17"/>
    <n v="3"/>
    <n v="1"/>
    <n v="80"/>
    <n v="0"/>
    <n v="5"/>
    <n v="0"/>
    <n v="3"/>
    <x v="11"/>
    <m/>
    <n v="2"/>
    <n v="0"/>
    <n v="2"/>
  </r>
  <r>
    <n v="27"/>
    <x v="1"/>
    <x v="1"/>
    <n v="591"/>
    <x v="1"/>
    <n v="2"/>
    <n v="3"/>
    <x v="2"/>
    <n v="1"/>
    <n v="1648"/>
    <n v="4"/>
    <x v="1"/>
    <n v="87"/>
    <n v="3"/>
    <n v="1"/>
    <x v="1"/>
    <n v="4"/>
    <x v="0"/>
    <n v="2580"/>
    <n v="6297"/>
    <n v="2"/>
    <s v="Y"/>
    <x v="1"/>
    <n v="13"/>
    <n v="3"/>
    <n v="3"/>
    <n v="80"/>
    <n v="0"/>
    <n v="6"/>
    <n v="0"/>
    <n v="2"/>
    <x v="9"/>
    <m/>
    <n v="2"/>
    <n v="1"/>
    <n v="2"/>
  </r>
  <r>
    <n v="40"/>
    <x v="0"/>
    <x v="0"/>
    <n v="1329"/>
    <x v="1"/>
    <n v="7"/>
    <n v="3"/>
    <x v="0"/>
    <n v="1"/>
    <n v="1649"/>
    <n v="1"/>
    <x v="1"/>
    <n v="73"/>
    <n v="3"/>
    <n v="1"/>
    <x v="2"/>
    <n v="1"/>
    <x v="0"/>
    <n v="2166"/>
    <n v="3339"/>
    <n v="3"/>
    <s v="Y"/>
    <x v="0"/>
    <n v="14"/>
    <n v="3"/>
    <n v="2"/>
    <n v="80"/>
    <n v="0"/>
    <n v="10"/>
    <n v="3"/>
    <n v="1"/>
    <x v="9"/>
    <m/>
    <n v="2"/>
    <n v="0"/>
    <n v="3"/>
  </r>
  <r>
    <n v="29"/>
    <x v="1"/>
    <x v="0"/>
    <n v="469"/>
    <x v="0"/>
    <n v="10"/>
    <n v="3"/>
    <x v="2"/>
    <n v="1"/>
    <n v="1650"/>
    <n v="3"/>
    <x v="1"/>
    <n v="42"/>
    <n v="2"/>
    <n v="2"/>
    <x v="0"/>
    <n v="3"/>
    <x v="0"/>
    <n v="5869"/>
    <n v="23413"/>
    <n v="9"/>
    <s v="Y"/>
    <x v="1"/>
    <n v="11"/>
    <n v="3"/>
    <n v="3"/>
    <n v="80"/>
    <n v="0"/>
    <n v="8"/>
    <n v="2"/>
    <n v="3"/>
    <x v="8"/>
    <m/>
    <n v="2"/>
    <n v="1"/>
    <n v="4"/>
  </r>
  <r>
    <n v="36"/>
    <x v="1"/>
    <x v="0"/>
    <n v="711"/>
    <x v="1"/>
    <n v="5"/>
    <n v="4"/>
    <x v="0"/>
    <n v="1"/>
    <n v="1651"/>
    <n v="2"/>
    <x v="0"/>
    <n v="42"/>
    <n v="3"/>
    <n v="3"/>
    <x v="4"/>
    <n v="1"/>
    <x v="1"/>
    <n v="8008"/>
    <n v="22792"/>
    <n v="4"/>
    <s v="Y"/>
    <x v="1"/>
    <n v="12"/>
    <n v="3"/>
    <n v="3"/>
    <n v="80"/>
    <n v="2"/>
    <n v="9"/>
    <n v="6"/>
    <n v="3"/>
    <x v="11"/>
    <m/>
    <n v="2"/>
    <n v="0"/>
    <n v="2"/>
  </r>
  <r>
    <n v="25"/>
    <x v="1"/>
    <x v="1"/>
    <n v="772"/>
    <x v="1"/>
    <n v="2"/>
    <n v="1"/>
    <x v="0"/>
    <n v="1"/>
    <n v="1653"/>
    <n v="4"/>
    <x v="1"/>
    <n v="77"/>
    <n v="4"/>
    <n v="2"/>
    <x v="3"/>
    <n v="3"/>
    <x v="2"/>
    <n v="5206"/>
    <n v="4973"/>
    <n v="1"/>
    <s v="Y"/>
    <x v="1"/>
    <n v="17"/>
    <n v="3"/>
    <n v="3"/>
    <n v="80"/>
    <n v="2"/>
    <n v="7"/>
    <n v="6"/>
    <n v="3"/>
    <x v="5"/>
    <m/>
    <n v="7"/>
    <n v="0"/>
    <n v="7"/>
  </r>
  <r>
    <n v="39"/>
    <x v="1"/>
    <x v="0"/>
    <n v="492"/>
    <x v="1"/>
    <n v="12"/>
    <n v="3"/>
    <x v="2"/>
    <n v="1"/>
    <n v="1654"/>
    <n v="4"/>
    <x v="1"/>
    <n v="66"/>
    <n v="3"/>
    <n v="2"/>
    <x v="3"/>
    <n v="2"/>
    <x v="1"/>
    <n v="5295"/>
    <n v="7693"/>
    <n v="4"/>
    <s v="Y"/>
    <x v="1"/>
    <n v="21"/>
    <n v="4"/>
    <n v="3"/>
    <n v="80"/>
    <n v="0"/>
    <n v="7"/>
    <n v="3"/>
    <n v="3"/>
    <x v="8"/>
    <m/>
    <n v="4"/>
    <n v="1"/>
    <n v="0"/>
  </r>
  <r>
    <n v="49"/>
    <x v="1"/>
    <x v="0"/>
    <n v="301"/>
    <x v="1"/>
    <n v="22"/>
    <n v="4"/>
    <x v="1"/>
    <n v="1"/>
    <n v="1655"/>
    <n v="1"/>
    <x v="0"/>
    <n v="72"/>
    <n v="3"/>
    <n v="4"/>
    <x v="7"/>
    <n v="2"/>
    <x v="1"/>
    <n v="16413"/>
    <n v="3498"/>
    <n v="3"/>
    <s v="Y"/>
    <x v="1"/>
    <n v="16"/>
    <n v="3"/>
    <n v="2"/>
    <n v="80"/>
    <n v="2"/>
    <n v="27"/>
    <n v="2"/>
    <n v="3"/>
    <x v="9"/>
    <m/>
    <n v="2"/>
    <n v="1"/>
    <n v="2"/>
  </r>
  <r>
    <n v="50"/>
    <x v="1"/>
    <x v="0"/>
    <n v="813"/>
    <x v="1"/>
    <n v="17"/>
    <n v="5"/>
    <x v="0"/>
    <n v="1"/>
    <n v="1656"/>
    <n v="4"/>
    <x v="0"/>
    <n v="50"/>
    <n v="2"/>
    <n v="3"/>
    <x v="7"/>
    <n v="1"/>
    <x v="2"/>
    <n v="13269"/>
    <n v="21981"/>
    <n v="5"/>
    <s v="Y"/>
    <x v="1"/>
    <n v="15"/>
    <n v="3"/>
    <n v="3"/>
    <n v="80"/>
    <n v="3"/>
    <n v="19"/>
    <n v="3"/>
    <n v="3"/>
    <x v="13"/>
    <m/>
    <n v="11"/>
    <n v="1"/>
    <n v="11"/>
  </r>
  <r>
    <n v="20"/>
    <x v="1"/>
    <x v="0"/>
    <n v="1141"/>
    <x v="0"/>
    <n v="2"/>
    <n v="3"/>
    <x v="2"/>
    <n v="1"/>
    <n v="1657"/>
    <n v="3"/>
    <x v="0"/>
    <n v="31"/>
    <n v="3"/>
    <n v="1"/>
    <x v="6"/>
    <n v="3"/>
    <x v="0"/>
    <n v="2783"/>
    <n v="13251"/>
    <n v="1"/>
    <s v="Y"/>
    <x v="1"/>
    <n v="19"/>
    <n v="3"/>
    <n v="1"/>
    <n v="80"/>
    <n v="0"/>
    <n v="2"/>
    <n v="3"/>
    <n v="3"/>
    <x v="4"/>
    <m/>
    <n v="2"/>
    <n v="2"/>
    <n v="2"/>
  </r>
  <r>
    <n v="34"/>
    <x v="1"/>
    <x v="0"/>
    <n v="1130"/>
    <x v="1"/>
    <n v="3"/>
    <n v="3"/>
    <x v="0"/>
    <n v="1"/>
    <n v="1658"/>
    <n v="4"/>
    <x v="0"/>
    <n v="66"/>
    <n v="3"/>
    <n v="2"/>
    <x v="1"/>
    <n v="2"/>
    <x v="2"/>
    <n v="5433"/>
    <n v="19332"/>
    <n v="1"/>
    <s v="Y"/>
    <x v="1"/>
    <n v="12"/>
    <n v="3"/>
    <n v="3"/>
    <n v="80"/>
    <n v="1"/>
    <n v="11"/>
    <n v="2"/>
    <n v="3"/>
    <x v="19"/>
    <m/>
    <n v="8"/>
    <n v="7"/>
    <n v="9"/>
  </r>
  <r>
    <n v="36"/>
    <x v="1"/>
    <x v="0"/>
    <n v="311"/>
    <x v="1"/>
    <n v="7"/>
    <n v="3"/>
    <x v="0"/>
    <n v="1"/>
    <n v="1659"/>
    <n v="1"/>
    <x v="1"/>
    <n v="77"/>
    <n v="3"/>
    <n v="1"/>
    <x v="2"/>
    <n v="2"/>
    <x v="0"/>
    <n v="2013"/>
    <n v="10950"/>
    <n v="2"/>
    <s v="Y"/>
    <x v="1"/>
    <n v="11"/>
    <n v="3"/>
    <n v="3"/>
    <n v="80"/>
    <n v="0"/>
    <n v="15"/>
    <n v="4"/>
    <n v="3"/>
    <x v="9"/>
    <m/>
    <n v="3"/>
    <n v="1"/>
    <n v="3"/>
  </r>
  <r>
    <n v="49"/>
    <x v="1"/>
    <x v="0"/>
    <n v="465"/>
    <x v="1"/>
    <n v="6"/>
    <n v="1"/>
    <x v="0"/>
    <n v="1"/>
    <n v="1661"/>
    <n v="3"/>
    <x v="0"/>
    <n v="41"/>
    <n v="2"/>
    <n v="4"/>
    <x v="4"/>
    <n v="3"/>
    <x v="1"/>
    <n v="13966"/>
    <n v="11652"/>
    <n v="2"/>
    <s v="Y"/>
    <x v="0"/>
    <n v="19"/>
    <n v="3"/>
    <n v="2"/>
    <n v="80"/>
    <n v="1"/>
    <n v="30"/>
    <n v="3"/>
    <n v="3"/>
    <x v="15"/>
    <m/>
    <n v="11"/>
    <n v="2"/>
    <n v="12"/>
  </r>
  <r>
    <n v="36"/>
    <x v="1"/>
    <x v="2"/>
    <n v="894"/>
    <x v="1"/>
    <n v="1"/>
    <n v="4"/>
    <x v="2"/>
    <n v="1"/>
    <n v="1662"/>
    <n v="4"/>
    <x v="0"/>
    <n v="33"/>
    <n v="2"/>
    <n v="2"/>
    <x v="3"/>
    <n v="3"/>
    <x v="1"/>
    <n v="4374"/>
    <n v="15411"/>
    <n v="0"/>
    <s v="Y"/>
    <x v="1"/>
    <n v="15"/>
    <n v="3"/>
    <n v="3"/>
    <n v="80"/>
    <n v="0"/>
    <n v="4"/>
    <n v="6"/>
    <n v="3"/>
    <x v="11"/>
    <m/>
    <n v="2"/>
    <n v="1"/>
    <n v="2"/>
  </r>
  <r>
    <n v="36"/>
    <x v="1"/>
    <x v="0"/>
    <n v="1040"/>
    <x v="1"/>
    <n v="3"/>
    <n v="2"/>
    <x v="0"/>
    <n v="1"/>
    <n v="1664"/>
    <n v="4"/>
    <x v="1"/>
    <n v="79"/>
    <n v="4"/>
    <n v="2"/>
    <x v="4"/>
    <n v="1"/>
    <x v="2"/>
    <n v="6842"/>
    <n v="26308"/>
    <n v="6"/>
    <s v="Y"/>
    <x v="1"/>
    <n v="20"/>
    <n v="4"/>
    <n v="1"/>
    <n v="80"/>
    <n v="1"/>
    <n v="13"/>
    <n v="3"/>
    <n v="3"/>
    <x v="8"/>
    <m/>
    <n v="4"/>
    <n v="0"/>
    <n v="4"/>
  </r>
  <r>
    <n v="54"/>
    <x v="1"/>
    <x v="0"/>
    <n v="584"/>
    <x v="1"/>
    <n v="22"/>
    <n v="5"/>
    <x v="2"/>
    <n v="1"/>
    <n v="1665"/>
    <n v="2"/>
    <x v="0"/>
    <n v="91"/>
    <n v="3"/>
    <n v="4"/>
    <x v="5"/>
    <n v="3"/>
    <x v="1"/>
    <n v="17426"/>
    <n v="18685"/>
    <n v="3"/>
    <s v="Y"/>
    <x v="1"/>
    <n v="25"/>
    <n v="4"/>
    <n v="3"/>
    <n v="80"/>
    <n v="1"/>
    <n v="36"/>
    <n v="6"/>
    <n v="3"/>
    <x v="1"/>
    <m/>
    <n v="8"/>
    <n v="4"/>
    <n v="7"/>
  </r>
  <r>
    <n v="43"/>
    <x v="1"/>
    <x v="0"/>
    <n v="1291"/>
    <x v="1"/>
    <n v="15"/>
    <n v="2"/>
    <x v="0"/>
    <n v="1"/>
    <n v="1666"/>
    <n v="3"/>
    <x v="1"/>
    <n v="65"/>
    <n v="2"/>
    <n v="4"/>
    <x v="7"/>
    <n v="3"/>
    <x v="1"/>
    <n v="17603"/>
    <n v="3525"/>
    <n v="1"/>
    <s v="Y"/>
    <x v="1"/>
    <n v="24"/>
    <n v="4"/>
    <n v="1"/>
    <n v="80"/>
    <n v="1"/>
    <n v="14"/>
    <n v="3"/>
    <n v="3"/>
    <x v="13"/>
    <m/>
    <n v="10"/>
    <n v="6"/>
    <n v="11"/>
  </r>
  <r>
    <n v="35"/>
    <x v="0"/>
    <x v="1"/>
    <n v="880"/>
    <x v="0"/>
    <n v="12"/>
    <n v="4"/>
    <x v="1"/>
    <n v="1"/>
    <n v="1667"/>
    <n v="4"/>
    <x v="1"/>
    <n v="36"/>
    <n v="3"/>
    <n v="2"/>
    <x v="0"/>
    <n v="4"/>
    <x v="0"/>
    <n v="4581"/>
    <n v="10414"/>
    <n v="3"/>
    <s v="Y"/>
    <x v="0"/>
    <n v="24"/>
    <n v="4"/>
    <n v="1"/>
    <n v="80"/>
    <n v="0"/>
    <n v="13"/>
    <n v="2"/>
    <n v="4"/>
    <x v="19"/>
    <m/>
    <n v="9"/>
    <n v="6"/>
    <n v="7"/>
  </r>
  <r>
    <n v="38"/>
    <x v="1"/>
    <x v="1"/>
    <n v="1189"/>
    <x v="1"/>
    <n v="1"/>
    <n v="3"/>
    <x v="0"/>
    <n v="1"/>
    <n v="1668"/>
    <n v="4"/>
    <x v="1"/>
    <n v="90"/>
    <n v="3"/>
    <n v="2"/>
    <x v="1"/>
    <n v="4"/>
    <x v="1"/>
    <n v="4735"/>
    <n v="9867"/>
    <n v="7"/>
    <s v="Y"/>
    <x v="1"/>
    <n v="15"/>
    <n v="3"/>
    <n v="4"/>
    <n v="80"/>
    <n v="2"/>
    <n v="19"/>
    <n v="4"/>
    <n v="4"/>
    <x v="20"/>
    <m/>
    <n v="11"/>
    <n v="2"/>
    <n v="9"/>
  </r>
  <r>
    <n v="29"/>
    <x v="1"/>
    <x v="0"/>
    <n v="991"/>
    <x v="0"/>
    <n v="5"/>
    <n v="3"/>
    <x v="2"/>
    <n v="1"/>
    <n v="1669"/>
    <n v="1"/>
    <x v="1"/>
    <n v="43"/>
    <n v="2"/>
    <n v="2"/>
    <x v="0"/>
    <n v="2"/>
    <x v="2"/>
    <n v="4187"/>
    <n v="3356"/>
    <n v="1"/>
    <s v="Y"/>
    <x v="0"/>
    <n v="13"/>
    <n v="3"/>
    <n v="2"/>
    <n v="80"/>
    <n v="1"/>
    <n v="10"/>
    <n v="3"/>
    <n v="2"/>
    <x v="1"/>
    <m/>
    <n v="0"/>
    <n v="0"/>
    <n v="9"/>
  </r>
  <r>
    <n v="33"/>
    <x v="1"/>
    <x v="0"/>
    <n v="392"/>
    <x v="0"/>
    <n v="2"/>
    <n v="4"/>
    <x v="2"/>
    <n v="1"/>
    <n v="1670"/>
    <n v="4"/>
    <x v="1"/>
    <n v="93"/>
    <n v="3"/>
    <n v="2"/>
    <x v="0"/>
    <n v="4"/>
    <x v="2"/>
    <n v="5505"/>
    <n v="3921"/>
    <n v="1"/>
    <s v="Y"/>
    <x v="1"/>
    <n v="14"/>
    <n v="3"/>
    <n v="3"/>
    <n v="80"/>
    <n v="2"/>
    <n v="6"/>
    <n v="5"/>
    <n v="3"/>
    <x v="0"/>
    <m/>
    <n v="2"/>
    <n v="0"/>
    <n v="4"/>
  </r>
  <r>
    <n v="32"/>
    <x v="1"/>
    <x v="0"/>
    <n v="977"/>
    <x v="1"/>
    <n v="2"/>
    <n v="3"/>
    <x v="2"/>
    <n v="1"/>
    <n v="1671"/>
    <n v="4"/>
    <x v="1"/>
    <n v="45"/>
    <n v="3"/>
    <n v="2"/>
    <x v="1"/>
    <n v="2"/>
    <x v="2"/>
    <n v="5470"/>
    <n v="25518"/>
    <n v="0"/>
    <s v="Y"/>
    <x v="1"/>
    <n v="13"/>
    <n v="3"/>
    <n v="3"/>
    <n v="80"/>
    <n v="2"/>
    <n v="10"/>
    <n v="4"/>
    <n v="2"/>
    <x v="7"/>
    <m/>
    <n v="5"/>
    <n v="1"/>
    <n v="6"/>
  </r>
  <r>
    <n v="31"/>
    <x v="1"/>
    <x v="0"/>
    <n v="1112"/>
    <x v="0"/>
    <n v="5"/>
    <n v="4"/>
    <x v="0"/>
    <n v="1"/>
    <n v="1673"/>
    <n v="1"/>
    <x v="0"/>
    <n v="67"/>
    <n v="3"/>
    <n v="2"/>
    <x v="0"/>
    <n v="4"/>
    <x v="1"/>
    <n v="5476"/>
    <n v="22589"/>
    <n v="1"/>
    <s v="Y"/>
    <x v="1"/>
    <n v="11"/>
    <n v="3"/>
    <n v="1"/>
    <n v="80"/>
    <n v="2"/>
    <n v="10"/>
    <n v="2"/>
    <n v="3"/>
    <x v="1"/>
    <m/>
    <n v="0"/>
    <n v="0"/>
    <n v="2"/>
  </r>
  <r>
    <n v="49"/>
    <x v="1"/>
    <x v="0"/>
    <n v="464"/>
    <x v="1"/>
    <n v="16"/>
    <n v="3"/>
    <x v="2"/>
    <n v="1"/>
    <n v="1674"/>
    <n v="4"/>
    <x v="0"/>
    <n v="74"/>
    <n v="3"/>
    <n v="1"/>
    <x v="2"/>
    <n v="1"/>
    <x v="2"/>
    <n v="2587"/>
    <n v="24941"/>
    <n v="4"/>
    <s v="Y"/>
    <x v="0"/>
    <n v="16"/>
    <n v="3"/>
    <n v="2"/>
    <n v="80"/>
    <n v="1"/>
    <n v="17"/>
    <n v="2"/>
    <n v="2"/>
    <x v="4"/>
    <m/>
    <n v="2"/>
    <n v="2"/>
    <n v="2"/>
  </r>
  <r>
    <n v="38"/>
    <x v="1"/>
    <x v="1"/>
    <n v="148"/>
    <x v="1"/>
    <n v="2"/>
    <n v="3"/>
    <x v="2"/>
    <n v="1"/>
    <n v="1675"/>
    <n v="4"/>
    <x v="0"/>
    <n v="42"/>
    <n v="2"/>
    <n v="1"/>
    <x v="2"/>
    <n v="2"/>
    <x v="0"/>
    <n v="2440"/>
    <n v="23826"/>
    <n v="1"/>
    <s v="Y"/>
    <x v="1"/>
    <n v="22"/>
    <n v="4"/>
    <n v="2"/>
    <n v="80"/>
    <n v="0"/>
    <n v="4"/>
    <n v="3"/>
    <n v="3"/>
    <x v="9"/>
    <m/>
    <n v="3"/>
    <n v="3"/>
    <n v="3"/>
  </r>
  <r>
    <n v="47"/>
    <x v="1"/>
    <x v="0"/>
    <n v="1225"/>
    <x v="0"/>
    <n v="2"/>
    <n v="4"/>
    <x v="0"/>
    <n v="1"/>
    <n v="1676"/>
    <n v="2"/>
    <x v="0"/>
    <n v="47"/>
    <n v="4"/>
    <n v="4"/>
    <x v="5"/>
    <n v="2"/>
    <x v="2"/>
    <n v="15972"/>
    <n v="21086"/>
    <n v="6"/>
    <s v="Y"/>
    <x v="1"/>
    <n v="14"/>
    <n v="3"/>
    <n v="3"/>
    <n v="80"/>
    <n v="3"/>
    <n v="29"/>
    <n v="2"/>
    <n v="3"/>
    <x v="11"/>
    <m/>
    <n v="2"/>
    <n v="1"/>
    <n v="2"/>
  </r>
  <r>
    <n v="49"/>
    <x v="1"/>
    <x v="0"/>
    <n v="809"/>
    <x v="1"/>
    <n v="1"/>
    <n v="3"/>
    <x v="0"/>
    <n v="1"/>
    <n v="1677"/>
    <n v="3"/>
    <x v="1"/>
    <n v="36"/>
    <n v="3"/>
    <n v="4"/>
    <x v="5"/>
    <n v="3"/>
    <x v="0"/>
    <n v="15379"/>
    <n v="22384"/>
    <n v="4"/>
    <s v="Y"/>
    <x v="1"/>
    <n v="14"/>
    <n v="3"/>
    <n v="1"/>
    <n v="80"/>
    <n v="0"/>
    <n v="23"/>
    <n v="2"/>
    <n v="3"/>
    <x v="3"/>
    <m/>
    <n v="7"/>
    <n v="0"/>
    <n v="0"/>
  </r>
  <r>
    <n v="41"/>
    <x v="1"/>
    <x v="0"/>
    <n v="1206"/>
    <x v="0"/>
    <n v="23"/>
    <n v="2"/>
    <x v="0"/>
    <n v="1"/>
    <n v="1678"/>
    <n v="4"/>
    <x v="1"/>
    <n v="80"/>
    <n v="3"/>
    <n v="3"/>
    <x v="0"/>
    <n v="3"/>
    <x v="0"/>
    <n v="7082"/>
    <n v="11591"/>
    <n v="3"/>
    <s v="Y"/>
    <x v="0"/>
    <n v="16"/>
    <n v="3"/>
    <n v="4"/>
    <n v="80"/>
    <n v="0"/>
    <n v="21"/>
    <n v="2"/>
    <n v="3"/>
    <x v="4"/>
    <m/>
    <n v="0"/>
    <n v="0"/>
    <n v="2"/>
  </r>
  <r>
    <n v="20"/>
    <x v="1"/>
    <x v="0"/>
    <n v="727"/>
    <x v="0"/>
    <n v="9"/>
    <n v="1"/>
    <x v="0"/>
    <n v="1"/>
    <n v="1680"/>
    <n v="4"/>
    <x v="1"/>
    <n v="54"/>
    <n v="3"/>
    <n v="1"/>
    <x v="6"/>
    <n v="1"/>
    <x v="0"/>
    <n v="2728"/>
    <n v="21082"/>
    <n v="1"/>
    <s v="Y"/>
    <x v="1"/>
    <n v="11"/>
    <n v="3"/>
    <n v="1"/>
    <n v="80"/>
    <n v="0"/>
    <n v="2"/>
    <n v="3"/>
    <n v="3"/>
    <x v="4"/>
    <m/>
    <n v="2"/>
    <n v="0"/>
    <n v="2"/>
  </r>
  <r>
    <n v="33"/>
    <x v="1"/>
    <x v="2"/>
    <n v="530"/>
    <x v="0"/>
    <n v="16"/>
    <n v="3"/>
    <x v="0"/>
    <n v="1"/>
    <n v="1681"/>
    <n v="3"/>
    <x v="0"/>
    <n v="36"/>
    <n v="3"/>
    <n v="2"/>
    <x v="0"/>
    <n v="4"/>
    <x v="2"/>
    <n v="5368"/>
    <n v="16130"/>
    <n v="1"/>
    <s v="Y"/>
    <x v="0"/>
    <n v="25"/>
    <n v="4"/>
    <n v="3"/>
    <n v="80"/>
    <n v="1"/>
    <n v="7"/>
    <n v="2"/>
    <n v="3"/>
    <x v="0"/>
    <m/>
    <n v="5"/>
    <n v="1"/>
    <n v="2"/>
  </r>
  <r>
    <n v="36"/>
    <x v="1"/>
    <x v="0"/>
    <n v="1351"/>
    <x v="1"/>
    <n v="26"/>
    <n v="4"/>
    <x v="0"/>
    <n v="1"/>
    <n v="1682"/>
    <n v="1"/>
    <x v="1"/>
    <n v="80"/>
    <n v="3"/>
    <n v="2"/>
    <x v="4"/>
    <n v="3"/>
    <x v="1"/>
    <n v="5347"/>
    <n v="7419"/>
    <n v="6"/>
    <s v="Y"/>
    <x v="1"/>
    <n v="14"/>
    <n v="3"/>
    <n v="2"/>
    <n v="80"/>
    <n v="2"/>
    <n v="10"/>
    <n v="2"/>
    <n v="2"/>
    <x v="11"/>
    <m/>
    <n v="2"/>
    <n v="0"/>
    <n v="2"/>
  </r>
  <r>
    <n v="44"/>
    <x v="1"/>
    <x v="0"/>
    <n v="528"/>
    <x v="2"/>
    <n v="1"/>
    <n v="3"/>
    <x v="0"/>
    <n v="1"/>
    <n v="1683"/>
    <n v="3"/>
    <x v="0"/>
    <n v="44"/>
    <n v="3"/>
    <n v="1"/>
    <x v="8"/>
    <n v="4"/>
    <x v="2"/>
    <n v="3195"/>
    <n v="4167"/>
    <n v="4"/>
    <s v="Y"/>
    <x v="0"/>
    <n v="18"/>
    <n v="3"/>
    <n v="1"/>
    <n v="80"/>
    <n v="3"/>
    <n v="8"/>
    <n v="2"/>
    <n v="3"/>
    <x v="4"/>
    <m/>
    <n v="2"/>
    <n v="2"/>
    <n v="2"/>
  </r>
  <r>
    <n v="23"/>
    <x v="0"/>
    <x v="0"/>
    <n v="1320"/>
    <x v="1"/>
    <n v="8"/>
    <n v="1"/>
    <x v="2"/>
    <n v="1"/>
    <n v="1684"/>
    <n v="4"/>
    <x v="1"/>
    <n v="93"/>
    <n v="2"/>
    <n v="1"/>
    <x v="2"/>
    <n v="3"/>
    <x v="0"/>
    <n v="3989"/>
    <n v="20586"/>
    <n v="1"/>
    <s v="Y"/>
    <x v="0"/>
    <n v="11"/>
    <n v="3"/>
    <n v="1"/>
    <n v="80"/>
    <n v="0"/>
    <n v="5"/>
    <n v="2"/>
    <n v="3"/>
    <x v="8"/>
    <m/>
    <n v="4"/>
    <n v="1"/>
    <n v="2"/>
  </r>
  <r>
    <n v="38"/>
    <x v="1"/>
    <x v="0"/>
    <n v="1495"/>
    <x v="1"/>
    <n v="4"/>
    <n v="2"/>
    <x v="2"/>
    <n v="1"/>
    <n v="1687"/>
    <n v="4"/>
    <x v="0"/>
    <n v="87"/>
    <n v="3"/>
    <n v="1"/>
    <x v="2"/>
    <n v="3"/>
    <x v="1"/>
    <n v="3306"/>
    <n v="26176"/>
    <n v="7"/>
    <s v="Y"/>
    <x v="1"/>
    <n v="19"/>
    <n v="3"/>
    <n v="4"/>
    <n v="80"/>
    <n v="1"/>
    <n v="7"/>
    <n v="5"/>
    <n v="2"/>
    <x v="2"/>
    <m/>
    <n v="0"/>
    <n v="0"/>
    <n v="0"/>
  </r>
  <r>
    <n v="53"/>
    <x v="1"/>
    <x v="0"/>
    <n v="1395"/>
    <x v="1"/>
    <n v="24"/>
    <n v="4"/>
    <x v="2"/>
    <n v="1"/>
    <n v="1689"/>
    <n v="2"/>
    <x v="1"/>
    <n v="48"/>
    <n v="4"/>
    <n v="3"/>
    <x v="4"/>
    <n v="4"/>
    <x v="1"/>
    <n v="7005"/>
    <n v="3458"/>
    <n v="3"/>
    <s v="Y"/>
    <x v="1"/>
    <n v="15"/>
    <n v="3"/>
    <n v="3"/>
    <n v="80"/>
    <n v="0"/>
    <n v="11"/>
    <n v="2"/>
    <n v="3"/>
    <x v="9"/>
    <m/>
    <n v="3"/>
    <n v="1"/>
    <n v="2"/>
  </r>
  <r>
    <n v="48"/>
    <x v="0"/>
    <x v="1"/>
    <n v="708"/>
    <x v="0"/>
    <n v="7"/>
    <n v="2"/>
    <x v="2"/>
    <n v="1"/>
    <n v="1691"/>
    <n v="4"/>
    <x v="0"/>
    <n v="95"/>
    <n v="3"/>
    <n v="1"/>
    <x v="6"/>
    <n v="3"/>
    <x v="1"/>
    <n v="2655"/>
    <n v="11740"/>
    <n v="2"/>
    <s v="Y"/>
    <x v="0"/>
    <n v="11"/>
    <n v="3"/>
    <n v="3"/>
    <n v="80"/>
    <n v="2"/>
    <n v="19"/>
    <n v="3"/>
    <n v="3"/>
    <x v="7"/>
    <m/>
    <n v="7"/>
    <n v="7"/>
    <n v="7"/>
  </r>
  <r>
    <n v="32"/>
    <x v="0"/>
    <x v="0"/>
    <n v="1259"/>
    <x v="1"/>
    <n v="2"/>
    <n v="4"/>
    <x v="0"/>
    <n v="1"/>
    <n v="1692"/>
    <n v="4"/>
    <x v="1"/>
    <n v="95"/>
    <n v="3"/>
    <n v="1"/>
    <x v="2"/>
    <n v="2"/>
    <x v="0"/>
    <n v="1393"/>
    <n v="24852"/>
    <n v="1"/>
    <s v="Y"/>
    <x v="1"/>
    <n v="12"/>
    <n v="3"/>
    <n v="1"/>
    <n v="80"/>
    <n v="0"/>
    <n v="1"/>
    <n v="2"/>
    <n v="3"/>
    <x v="6"/>
    <m/>
    <n v="0"/>
    <n v="0"/>
    <n v="0"/>
  </r>
  <r>
    <n v="26"/>
    <x v="1"/>
    <x v="2"/>
    <n v="786"/>
    <x v="1"/>
    <n v="7"/>
    <n v="3"/>
    <x v="2"/>
    <n v="1"/>
    <n v="1693"/>
    <n v="4"/>
    <x v="1"/>
    <n v="76"/>
    <n v="3"/>
    <n v="1"/>
    <x v="2"/>
    <n v="4"/>
    <x v="0"/>
    <n v="2570"/>
    <n v="11925"/>
    <n v="1"/>
    <s v="Y"/>
    <x v="1"/>
    <n v="20"/>
    <n v="4"/>
    <n v="3"/>
    <n v="80"/>
    <n v="0"/>
    <n v="7"/>
    <n v="5"/>
    <n v="3"/>
    <x v="5"/>
    <m/>
    <n v="7"/>
    <n v="5"/>
    <n v="7"/>
  </r>
  <r>
    <n v="55"/>
    <x v="1"/>
    <x v="0"/>
    <n v="1441"/>
    <x v="1"/>
    <n v="22"/>
    <n v="3"/>
    <x v="4"/>
    <n v="1"/>
    <n v="1694"/>
    <n v="1"/>
    <x v="1"/>
    <n v="94"/>
    <n v="2"/>
    <n v="1"/>
    <x v="1"/>
    <n v="2"/>
    <x v="2"/>
    <n v="3537"/>
    <n v="23737"/>
    <n v="5"/>
    <s v="Y"/>
    <x v="1"/>
    <n v="12"/>
    <n v="3"/>
    <n v="4"/>
    <n v="80"/>
    <n v="1"/>
    <n v="8"/>
    <n v="1"/>
    <n v="3"/>
    <x v="9"/>
    <m/>
    <n v="2"/>
    <n v="1"/>
    <n v="2"/>
  </r>
  <r>
    <n v="34"/>
    <x v="1"/>
    <x v="0"/>
    <n v="1157"/>
    <x v="1"/>
    <n v="5"/>
    <n v="2"/>
    <x v="2"/>
    <n v="1"/>
    <n v="1696"/>
    <n v="2"/>
    <x v="1"/>
    <n v="57"/>
    <n v="2"/>
    <n v="2"/>
    <x v="2"/>
    <n v="4"/>
    <x v="1"/>
    <n v="3986"/>
    <n v="11912"/>
    <n v="1"/>
    <s v="Y"/>
    <x v="1"/>
    <n v="14"/>
    <n v="3"/>
    <n v="3"/>
    <n v="80"/>
    <n v="1"/>
    <n v="15"/>
    <n v="3"/>
    <n v="4"/>
    <x v="15"/>
    <m/>
    <n v="10"/>
    <n v="4"/>
    <n v="13"/>
  </r>
  <r>
    <n v="60"/>
    <x v="1"/>
    <x v="0"/>
    <n v="370"/>
    <x v="1"/>
    <n v="1"/>
    <n v="4"/>
    <x v="2"/>
    <n v="1"/>
    <n v="1697"/>
    <n v="3"/>
    <x v="1"/>
    <n v="92"/>
    <n v="1"/>
    <n v="3"/>
    <x v="4"/>
    <n v="4"/>
    <x v="2"/>
    <n v="10883"/>
    <n v="20467"/>
    <n v="3"/>
    <s v="Y"/>
    <x v="1"/>
    <n v="20"/>
    <n v="4"/>
    <n v="3"/>
    <n v="80"/>
    <n v="1"/>
    <n v="19"/>
    <n v="2"/>
    <n v="4"/>
    <x v="6"/>
    <m/>
    <n v="0"/>
    <n v="0"/>
    <n v="0"/>
  </r>
  <r>
    <n v="33"/>
    <x v="1"/>
    <x v="0"/>
    <n v="267"/>
    <x v="1"/>
    <n v="21"/>
    <n v="3"/>
    <x v="2"/>
    <n v="1"/>
    <n v="1698"/>
    <n v="2"/>
    <x v="1"/>
    <n v="79"/>
    <n v="4"/>
    <n v="1"/>
    <x v="2"/>
    <n v="2"/>
    <x v="1"/>
    <n v="2028"/>
    <n v="13637"/>
    <n v="1"/>
    <s v="Y"/>
    <x v="1"/>
    <n v="18"/>
    <n v="3"/>
    <n v="4"/>
    <n v="80"/>
    <n v="3"/>
    <n v="14"/>
    <n v="6"/>
    <n v="3"/>
    <x v="13"/>
    <m/>
    <n v="11"/>
    <n v="2"/>
    <n v="13"/>
  </r>
  <r>
    <n v="37"/>
    <x v="1"/>
    <x v="1"/>
    <n v="1278"/>
    <x v="0"/>
    <n v="1"/>
    <n v="4"/>
    <x v="2"/>
    <n v="1"/>
    <n v="1700"/>
    <n v="3"/>
    <x v="1"/>
    <n v="31"/>
    <n v="1"/>
    <n v="2"/>
    <x v="0"/>
    <n v="4"/>
    <x v="2"/>
    <n v="9525"/>
    <n v="7677"/>
    <n v="1"/>
    <s v="Y"/>
    <x v="1"/>
    <n v="14"/>
    <n v="3"/>
    <n v="3"/>
    <n v="80"/>
    <n v="2"/>
    <n v="6"/>
    <n v="2"/>
    <n v="2"/>
    <x v="0"/>
    <m/>
    <n v="3"/>
    <n v="1"/>
    <n v="3"/>
  </r>
  <r>
    <n v="34"/>
    <x v="1"/>
    <x v="0"/>
    <n v="678"/>
    <x v="1"/>
    <n v="19"/>
    <n v="3"/>
    <x v="0"/>
    <n v="1"/>
    <n v="1701"/>
    <n v="2"/>
    <x v="0"/>
    <n v="35"/>
    <n v="2"/>
    <n v="1"/>
    <x v="1"/>
    <n v="4"/>
    <x v="1"/>
    <n v="2929"/>
    <n v="20338"/>
    <n v="1"/>
    <s v="Y"/>
    <x v="1"/>
    <n v="12"/>
    <n v="3"/>
    <n v="2"/>
    <n v="80"/>
    <n v="0"/>
    <n v="10"/>
    <n v="3"/>
    <n v="3"/>
    <x v="1"/>
    <m/>
    <n v="9"/>
    <n v="8"/>
    <n v="7"/>
  </r>
  <r>
    <n v="23"/>
    <x v="0"/>
    <x v="0"/>
    <n v="427"/>
    <x v="0"/>
    <n v="7"/>
    <n v="3"/>
    <x v="0"/>
    <n v="1"/>
    <n v="1702"/>
    <n v="3"/>
    <x v="1"/>
    <n v="99"/>
    <n v="3"/>
    <n v="1"/>
    <x v="6"/>
    <n v="4"/>
    <x v="2"/>
    <n v="2275"/>
    <n v="25103"/>
    <n v="1"/>
    <s v="Y"/>
    <x v="0"/>
    <n v="21"/>
    <n v="4"/>
    <n v="2"/>
    <n v="80"/>
    <n v="1"/>
    <n v="3"/>
    <n v="2"/>
    <n v="3"/>
    <x v="11"/>
    <m/>
    <n v="2"/>
    <n v="0"/>
    <n v="2"/>
  </r>
  <r>
    <n v="44"/>
    <x v="1"/>
    <x v="0"/>
    <n v="921"/>
    <x v="1"/>
    <n v="2"/>
    <n v="3"/>
    <x v="0"/>
    <n v="1"/>
    <n v="1703"/>
    <n v="3"/>
    <x v="0"/>
    <n v="96"/>
    <n v="4"/>
    <n v="3"/>
    <x v="4"/>
    <n v="4"/>
    <x v="1"/>
    <n v="7879"/>
    <n v="14810"/>
    <n v="1"/>
    <s v="Y"/>
    <x v="0"/>
    <n v="19"/>
    <n v="3"/>
    <n v="2"/>
    <n v="80"/>
    <n v="1"/>
    <n v="9"/>
    <n v="2"/>
    <n v="3"/>
    <x v="3"/>
    <m/>
    <n v="7"/>
    <n v="6"/>
    <n v="7"/>
  </r>
  <r>
    <n v="35"/>
    <x v="1"/>
    <x v="1"/>
    <n v="146"/>
    <x v="1"/>
    <n v="2"/>
    <n v="4"/>
    <x v="2"/>
    <n v="1"/>
    <n v="1704"/>
    <n v="1"/>
    <x v="1"/>
    <n v="79"/>
    <n v="2"/>
    <n v="1"/>
    <x v="1"/>
    <n v="4"/>
    <x v="0"/>
    <n v="4930"/>
    <n v="13970"/>
    <n v="0"/>
    <s v="Y"/>
    <x v="0"/>
    <n v="14"/>
    <n v="3"/>
    <n v="3"/>
    <n v="80"/>
    <n v="0"/>
    <n v="6"/>
    <n v="2"/>
    <n v="4"/>
    <x v="8"/>
    <m/>
    <n v="4"/>
    <n v="1"/>
    <n v="4"/>
  </r>
  <r>
    <n v="43"/>
    <x v="1"/>
    <x v="0"/>
    <n v="1179"/>
    <x v="0"/>
    <n v="2"/>
    <n v="3"/>
    <x v="2"/>
    <n v="1"/>
    <n v="1706"/>
    <n v="4"/>
    <x v="1"/>
    <n v="73"/>
    <n v="3"/>
    <n v="2"/>
    <x v="0"/>
    <n v="4"/>
    <x v="1"/>
    <n v="7847"/>
    <n v="6069"/>
    <n v="1"/>
    <s v="Y"/>
    <x v="0"/>
    <n v="17"/>
    <n v="3"/>
    <n v="1"/>
    <n v="80"/>
    <n v="1"/>
    <n v="10"/>
    <n v="3"/>
    <n v="3"/>
    <x v="1"/>
    <m/>
    <n v="9"/>
    <n v="8"/>
    <n v="8"/>
  </r>
  <r>
    <n v="24"/>
    <x v="1"/>
    <x v="0"/>
    <n v="581"/>
    <x v="1"/>
    <n v="9"/>
    <n v="3"/>
    <x v="2"/>
    <n v="1"/>
    <n v="1707"/>
    <n v="3"/>
    <x v="1"/>
    <n v="62"/>
    <n v="4"/>
    <n v="1"/>
    <x v="1"/>
    <n v="3"/>
    <x v="1"/>
    <n v="4401"/>
    <n v="17616"/>
    <n v="1"/>
    <s v="Y"/>
    <x v="1"/>
    <n v="16"/>
    <n v="3"/>
    <n v="4"/>
    <n v="80"/>
    <n v="1"/>
    <n v="5"/>
    <n v="1"/>
    <n v="3"/>
    <x v="8"/>
    <m/>
    <n v="3"/>
    <n v="0"/>
    <n v="4"/>
  </r>
  <r>
    <n v="41"/>
    <x v="1"/>
    <x v="0"/>
    <n v="918"/>
    <x v="0"/>
    <n v="6"/>
    <n v="3"/>
    <x v="3"/>
    <n v="1"/>
    <n v="1708"/>
    <n v="4"/>
    <x v="1"/>
    <n v="35"/>
    <n v="3"/>
    <n v="3"/>
    <x v="0"/>
    <n v="3"/>
    <x v="0"/>
    <n v="9241"/>
    <n v="15869"/>
    <n v="1"/>
    <s v="Y"/>
    <x v="1"/>
    <n v="12"/>
    <n v="3"/>
    <n v="2"/>
    <n v="80"/>
    <n v="0"/>
    <n v="10"/>
    <n v="3"/>
    <n v="3"/>
    <x v="1"/>
    <m/>
    <n v="8"/>
    <n v="8"/>
    <n v="7"/>
  </r>
  <r>
    <n v="29"/>
    <x v="1"/>
    <x v="0"/>
    <n v="1082"/>
    <x v="1"/>
    <n v="9"/>
    <n v="4"/>
    <x v="2"/>
    <n v="1"/>
    <n v="1709"/>
    <n v="4"/>
    <x v="0"/>
    <n v="43"/>
    <n v="3"/>
    <n v="1"/>
    <x v="2"/>
    <n v="3"/>
    <x v="1"/>
    <n v="2974"/>
    <n v="25412"/>
    <n v="9"/>
    <s v="Y"/>
    <x v="1"/>
    <n v="17"/>
    <n v="3"/>
    <n v="3"/>
    <n v="80"/>
    <n v="1"/>
    <n v="9"/>
    <n v="2"/>
    <n v="3"/>
    <x v="8"/>
    <m/>
    <n v="3"/>
    <n v="1"/>
    <n v="2"/>
  </r>
  <r>
    <n v="36"/>
    <x v="1"/>
    <x v="0"/>
    <n v="530"/>
    <x v="0"/>
    <n v="2"/>
    <n v="4"/>
    <x v="0"/>
    <n v="1"/>
    <n v="1710"/>
    <n v="3"/>
    <x v="0"/>
    <n v="51"/>
    <n v="3"/>
    <n v="2"/>
    <x v="6"/>
    <n v="4"/>
    <x v="0"/>
    <n v="4502"/>
    <n v="7439"/>
    <n v="3"/>
    <s v="Y"/>
    <x v="1"/>
    <n v="15"/>
    <n v="3"/>
    <n v="3"/>
    <n v="80"/>
    <n v="0"/>
    <n v="17"/>
    <n v="2"/>
    <n v="2"/>
    <x v="20"/>
    <m/>
    <n v="7"/>
    <n v="6"/>
    <n v="7"/>
  </r>
  <r>
    <n v="45"/>
    <x v="1"/>
    <x v="2"/>
    <n v="1238"/>
    <x v="1"/>
    <n v="1"/>
    <n v="1"/>
    <x v="0"/>
    <n v="1"/>
    <n v="1712"/>
    <n v="3"/>
    <x v="1"/>
    <n v="74"/>
    <n v="2"/>
    <n v="3"/>
    <x v="4"/>
    <n v="3"/>
    <x v="1"/>
    <n v="10748"/>
    <n v="3395"/>
    <n v="3"/>
    <s v="Y"/>
    <x v="1"/>
    <n v="23"/>
    <n v="4"/>
    <n v="4"/>
    <n v="80"/>
    <n v="1"/>
    <n v="25"/>
    <n v="3"/>
    <n v="2"/>
    <x v="36"/>
    <m/>
    <n v="15"/>
    <n v="14"/>
    <n v="4"/>
  </r>
  <r>
    <n v="24"/>
    <x v="0"/>
    <x v="0"/>
    <n v="240"/>
    <x v="2"/>
    <n v="22"/>
    <n v="1"/>
    <x v="5"/>
    <n v="1"/>
    <n v="1714"/>
    <n v="4"/>
    <x v="1"/>
    <n v="58"/>
    <n v="1"/>
    <n v="1"/>
    <x v="8"/>
    <n v="3"/>
    <x v="1"/>
    <n v="1555"/>
    <n v="11585"/>
    <n v="1"/>
    <s v="Y"/>
    <x v="1"/>
    <n v="11"/>
    <n v="3"/>
    <n v="3"/>
    <n v="80"/>
    <n v="1"/>
    <n v="1"/>
    <n v="2"/>
    <n v="3"/>
    <x v="6"/>
    <m/>
    <n v="0"/>
    <n v="0"/>
    <n v="0"/>
  </r>
  <r>
    <n v="47"/>
    <x v="0"/>
    <x v="1"/>
    <n v="1093"/>
    <x v="0"/>
    <n v="9"/>
    <n v="3"/>
    <x v="0"/>
    <n v="1"/>
    <n v="1716"/>
    <n v="3"/>
    <x v="1"/>
    <n v="82"/>
    <n v="1"/>
    <n v="4"/>
    <x v="0"/>
    <n v="3"/>
    <x v="1"/>
    <n v="12936"/>
    <n v="24164"/>
    <n v="7"/>
    <s v="Y"/>
    <x v="1"/>
    <n v="11"/>
    <n v="3"/>
    <n v="3"/>
    <n v="80"/>
    <n v="0"/>
    <n v="25"/>
    <n v="3"/>
    <n v="1"/>
    <x v="36"/>
    <m/>
    <n v="5"/>
    <n v="14"/>
    <n v="10"/>
  </r>
  <r>
    <n v="26"/>
    <x v="1"/>
    <x v="0"/>
    <n v="390"/>
    <x v="1"/>
    <n v="17"/>
    <n v="4"/>
    <x v="2"/>
    <n v="1"/>
    <n v="1718"/>
    <n v="4"/>
    <x v="1"/>
    <n v="62"/>
    <n v="1"/>
    <n v="1"/>
    <x v="2"/>
    <n v="3"/>
    <x v="1"/>
    <n v="2305"/>
    <n v="6217"/>
    <n v="1"/>
    <s v="Y"/>
    <x v="1"/>
    <n v="15"/>
    <n v="3"/>
    <n v="3"/>
    <n v="80"/>
    <n v="3"/>
    <n v="3"/>
    <n v="3"/>
    <n v="4"/>
    <x v="11"/>
    <m/>
    <n v="2"/>
    <n v="0"/>
    <n v="2"/>
  </r>
  <r>
    <n v="45"/>
    <x v="1"/>
    <x v="0"/>
    <n v="1005"/>
    <x v="1"/>
    <n v="28"/>
    <n v="2"/>
    <x v="4"/>
    <n v="1"/>
    <n v="1719"/>
    <n v="4"/>
    <x v="0"/>
    <n v="48"/>
    <n v="2"/>
    <n v="4"/>
    <x v="7"/>
    <n v="2"/>
    <x v="0"/>
    <n v="16704"/>
    <n v="17119"/>
    <n v="1"/>
    <s v="Y"/>
    <x v="1"/>
    <n v="11"/>
    <n v="3"/>
    <n v="3"/>
    <n v="80"/>
    <n v="0"/>
    <n v="21"/>
    <n v="2"/>
    <n v="3"/>
    <x v="17"/>
    <m/>
    <n v="6"/>
    <n v="8"/>
    <n v="6"/>
  </r>
  <r>
    <n v="32"/>
    <x v="1"/>
    <x v="1"/>
    <n v="585"/>
    <x v="1"/>
    <n v="10"/>
    <n v="3"/>
    <x v="0"/>
    <n v="1"/>
    <n v="1720"/>
    <n v="1"/>
    <x v="1"/>
    <n v="56"/>
    <n v="3"/>
    <n v="1"/>
    <x v="1"/>
    <n v="3"/>
    <x v="1"/>
    <n v="3433"/>
    <n v="17360"/>
    <n v="6"/>
    <s v="Y"/>
    <x v="1"/>
    <n v="13"/>
    <n v="3"/>
    <n v="1"/>
    <n v="80"/>
    <n v="1"/>
    <n v="10"/>
    <n v="3"/>
    <n v="2"/>
    <x v="8"/>
    <m/>
    <n v="2"/>
    <n v="1"/>
    <n v="3"/>
  </r>
  <r>
    <n v="31"/>
    <x v="1"/>
    <x v="0"/>
    <n v="741"/>
    <x v="1"/>
    <n v="2"/>
    <n v="4"/>
    <x v="0"/>
    <n v="1"/>
    <n v="1721"/>
    <n v="2"/>
    <x v="1"/>
    <n v="69"/>
    <n v="3"/>
    <n v="1"/>
    <x v="2"/>
    <n v="3"/>
    <x v="1"/>
    <n v="3477"/>
    <n v="18103"/>
    <n v="1"/>
    <s v="Y"/>
    <x v="1"/>
    <n v="14"/>
    <n v="3"/>
    <n v="4"/>
    <n v="80"/>
    <n v="1"/>
    <n v="6"/>
    <n v="2"/>
    <n v="4"/>
    <x v="8"/>
    <m/>
    <n v="2"/>
    <n v="0"/>
    <n v="3"/>
  </r>
  <r>
    <n v="41"/>
    <x v="1"/>
    <x v="2"/>
    <n v="552"/>
    <x v="2"/>
    <n v="4"/>
    <n v="3"/>
    <x v="5"/>
    <n v="1"/>
    <n v="1722"/>
    <n v="3"/>
    <x v="1"/>
    <n v="60"/>
    <n v="1"/>
    <n v="2"/>
    <x v="8"/>
    <n v="2"/>
    <x v="1"/>
    <n v="6430"/>
    <n v="20794"/>
    <n v="6"/>
    <s v="Y"/>
    <x v="1"/>
    <n v="19"/>
    <n v="3"/>
    <n v="2"/>
    <n v="80"/>
    <n v="1"/>
    <n v="10"/>
    <n v="4"/>
    <n v="3"/>
    <x v="11"/>
    <m/>
    <n v="2"/>
    <n v="1"/>
    <n v="2"/>
  </r>
  <r>
    <n v="40"/>
    <x v="1"/>
    <x v="0"/>
    <n v="369"/>
    <x v="1"/>
    <n v="8"/>
    <n v="2"/>
    <x v="0"/>
    <n v="1"/>
    <n v="1724"/>
    <n v="2"/>
    <x v="0"/>
    <n v="92"/>
    <n v="3"/>
    <n v="2"/>
    <x v="3"/>
    <n v="1"/>
    <x v="1"/>
    <n v="6516"/>
    <n v="5041"/>
    <n v="2"/>
    <s v="Y"/>
    <x v="0"/>
    <n v="16"/>
    <n v="3"/>
    <n v="2"/>
    <n v="80"/>
    <n v="1"/>
    <n v="18"/>
    <n v="3"/>
    <n v="3"/>
    <x v="6"/>
    <m/>
    <n v="0"/>
    <n v="0"/>
    <n v="0"/>
  </r>
  <r>
    <n v="24"/>
    <x v="1"/>
    <x v="0"/>
    <n v="506"/>
    <x v="1"/>
    <n v="29"/>
    <n v="1"/>
    <x v="2"/>
    <n v="1"/>
    <n v="1725"/>
    <n v="2"/>
    <x v="1"/>
    <n v="91"/>
    <n v="3"/>
    <n v="1"/>
    <x v="2"/>
    <n v="1"/>
    <x v="2"/>
    <n v="3907"/>
    <n v="3622"/>
    <n v="1"/>
    <s v="Y"/>
    <x v="1"/>
    <n v="13"/>
    <n v="3"/>
    <n v="2"/>
    <n v="80"/>
    <n v="3"/>
    <n v="6"/>
    <n v="2"/>
    <n v="4"/>
    <x v="0"/>
    <m/>
    <n v="2"/>
    <n v="1"/>
    <n v="2"/>
  </r>
  <r>
    <n v="46"/>
    <x v="1"/>
    <x v="0"/>
    <n v="717"/>
    <x v="1"/>
    <n v="13"/>
    <n v="4"/>
    <x v="0"/>
    <n v="1"/>
    <n v="1727"/>
    <n v="3"/>
    <x v="1"/>
    <n v="34"/>
    <n v="3"/>
    <n v="2"/>
    <x v="4"/>
    <n v="2"/>
    <x v="0"/>
    <n v="5562"/>
    <n v="9697"/>
    <n v="6"/>
    <s v="Y"/>
    <x v="1"/>
    <n v="14"/>
    <n v="3"/>
    <n v="4"/>
    <n v="80"/>
    <n v="0"/>
    <n v="19"/>
    <n v="3"/>
    <n v="3"/>
    <x v="1"/>
    <m/>
    <n v="7"/>
    <n v="0"/>
    <n v="9"/>
  </r>
  <r>
    <n v="35"/>
    <x v="1"/>
    <x v="0"/>
    <n v="1370"/>
    <x v="1"/>
    <n v="27"/>
    <n v="4"/>
    <x v="0"/>
    <n v="1"/>
    <n v="1728"/>
    <n v="4"/>
    <x v="1"/>
    <n v="49"/>
    <n v="3"/>
    <n v="2"/>
    <x v="3"/>
    <n v="3"/>
    <x v="1"/>
    <n v="6883"/>
    <n v="5151"/>
    <n v="2"/>
    <s v="Y"/>
    <x v="1"/>
    <n v="16"/>
    <n v="3"/>
    <n v="2"/>
    <n v="80"/>
    <n v="1"/>
    <n v="17"/>
    <n v="3"/>
    <n v="3"/>
    <x v="5"/>
    <m/>
    <n v="7"/>
    <n v="0"/>
    <n v="7"/>
  </r>
  <r>
    <n v="30"/>
    <x v="1"/>
    <x v="0"/>
    <n v="793"/>
    <x v="1"/>
    <n v="16"/>
    <n v="1"/>
    <x v="0"/>
    <n v="1"/>
    <n v="1729"/>
    <n v="2"/>
    <x v="1"/>
    <n v="33"/>
    <n v="3"/>
    <n v="1"/>
    <x v="1"/>
    <n v="4"/>
    <x v="1"/>
    <n v="2862"/>
    <n v="3811"/>
    <n v="1"/>
    <s v="Y"/>
    <x v="1"/>
    <n v="12"/>
    <n v="3"/>
    <n v="2"/>
    <n v="80"/>
    <n v="1"/>
    <n v="10"/>
    <n v="2"/>
    <n v="2"/>
    <x v="1"/>
    <m/>
    <n v="0"/>
    <n v="0"/>
    <n v="8"/>
  </r>
  <r>
    <n v="47"/>
    <x v="1"/>
    <x v="2"/>
    <n v="543"/>
    <x v="0"/>
    <n v="2"/>
    <n v="4"/>
    <x v="3"/>
    <n v="1"/>
    <n v="1731"/>
    <n v="3"/>
    <x v="1"/>
    <n v="87"/>
    <n v="3"/>
    <n v="2"/>
    <x v="0"/>
    <n v="2"/>
    <x v="1"/>
    <n v="4978"/>
    <n v="3536"/>
    <n v="7"/>
    <s v="Y"/>
    <x v="1"/>
    <n v="11"/>
    <n v="3"/>
    <n v="4"/>
    <n v="80"/>
    <n v="1"/>
    <n v="4"/>
    <n v="3"/>
    <n v="1"/>
    <x v="6"/>
    <m/>
    <n v="0"/>
    <n v="0"/>
    <n v="0"/>
  </r>
  <r>
    <n v="46"/>
    <x v="1"/>
    <x v="0"/>
    <n v="1277"/>
    <x v="0"/>
    <n v="2"/>
    <n v="3"/>
    <x v="0"/>
    <n v="1"/>
    <n v="1732"/>
    <n v="3"/>
    <x v="1"/>
    <n v="74"/>
    <n v="3"/>
    <n v="3"/>
    <x v="0"/>
    <n v="4"/>
    <x v="2"/>
    <n v="10368"/>
    <n v="5596"/>
    <n v="4"/>
    <s v="Y"/>
    <x v="0"/>
    <n v="12"/>
    <n v="3"/>
    <n v="2"/>
    <n v="80"/>
    <n v="1"/>
    <n v="13"/>
    <n v="5"/>
    <n v="2"/>
    <x v="1"/>
    <m/>
    <n v="6"/>
    <n v="0"/>
    <n v="3"/>
  </r>
  <r>
    <n v="36"/>
    <x v="0"/>
    <x v="0"/>
    <n v="1456"/>
    <x v="0"/>
    <n v="13"/>
    <n v="5"/>
    <x v="3"/>
    <n v="1"/>
    <n v="1733"/>
    <n v="2"/>
    <x v="1"/>
    <n v="96"/>
    <n v="2"/>
    <n v="2"/>
    <x v="0"/>
    <n v="1"/>
    <x v="2"/>
    <n v="6134"/>
    <n v="8658"/>
    <n v="5"/>
    <s v="Y"/>
    <x v="0"/>
    <n v="13"/>
    <n v="3"/>
    <n v="2"/>
    <n v="80"/>
    <n v="3"/>
    <n v="16"/>
    <n v="3"/>
    <n v="3"/>
    <x v="4"/>
    <m/>
    <n v="2"/>
    <n v="2"/>
    <n v="2"/>
  </r>
  <r>
    <n v="32"/>
    <x v="0"/>
    <x v="0"/>
    <n v="964"/>
    <x v="0"/>
    <n v="1"/>
    <n v="2"/>
    <x v="0"/>
    <n v="1"/>
    <n v="1734"/>
    <n v="1"/>
    <x v="1"/>
    <n v="34"/>
    <n v="1"/>
    <n v="2"/>
    <x v="0"/>
    <n v="2"/>
    <x v="0"/>
    <n v="6735"/>
    <n v="12147"/>
    <n v="6"/>
    <s v="Y"/>
    <x v="1"/>
    <n v="15"/>
    <n v="3"/>
    <n v="2"/>
    <n v="80"/>
    <n v="0"/>
    <n v="10"/>
    <n v="2"/>
    <n v="3"/>
    <x v="2"/>
    <m/>
    <n v="0"/>
    <n v="0"/>
    <n v="0"/>
  </r>
  <r>
    <n v="23"/>
    <x v="1"/>
    <x v="0"/>
    <n v="160"/>
    <x v="1"/>
    <n v="4"/>
    <n v="1"/>
    <x v="2"/>
    <n v="1"/>
    <n v="1735"/>
    <n v="3"/>
    <x v="0"/>
    <n v="51"/>
    <n v="3"/>
    <n v="1"/>
    <x v="2"/>
    <n v="2"/>
    <x v="0"/>
    <n v="3295"/>
    <n v="12862"/>
    <n v="1"/>
    <s v="Y"/>
    <x v="1"/>
    <n v="13"/>
    <n v="3"/>
    <n v="3"/>
    <n v="80"/>
    <n v="0"/>
    <n v="3"/>
    <n v="3"/>
    <n v="1"/>
    <x v="11"/>
    <m/>
    <n v="2"/>
    <n v="1"/>
    <n v="2"/>
  </r>
  <r>
    <n v="31"/>
    <x v="1"/>
    <x v="1"/>
    <n v="163"/>
    <x v="1"/>
    <n v="24"/>
    <n v="1"/>
    <x v="4"/>
    <n v="1"/>
    <n v="1736"/>
    <n v="4"/>
    <x v="0"/>
    <n v="30"/>
    <n v="3"/>
    <n v="2"/>
    <x v="3"/>
    <n v="4"/>
    <x v="0"/>
    <n v="5238"/>
    <n v="6670"/>
    <n v="2"/>
    <s v="Y"/>
    <x v="1"/>
    <n v="20"/>
    <n v="4"/>
    <n v="4"/>
    <n v="80"/>
    <n v="0"/>
    <n v="9"/>
    <n v="3"/>
    <n v="2"/>
    <x v="8"/>
    <m/>
    <n v="4"/>
    <n v="1"/>
    <n v="4"/>
  </r>
  <r>
    <n v="39"/>
    <x v="1"/>
    <x v="2"/>
    <n v="792"/>
    <x v="1"/>
    <n v="1"/>
    <n v="3"/>
    <x v="0"/>
    <n v="1"/>
    <n v="1737"/>
    <n v="4"/>
    <x v="1"/>
    <n v="77"/>
    <n v="3"/>
    <n v="2"/>
    <x v="2"/>
    <n v="4"/>
    <x v="1"/>
    <n v="6472"/>
    <n v="8989"/>
    <n v="1"/>
    <s v="Y"/>
    <x v="0"/>
    <n v="15"/>
    <n v="3"/>
    <n v="4"/>
    <n v="80"/>
    <n v="1"/>
    <n v="9"/>
    <n v="2"/>
    <n v="3"/>
    <x v="7"/>
    <m/>
    <n v="8"/>
    <n v="5"/>
    <n v="8"/>
  </r>
  <r>
    <n v="32"/>
    <x v="1"/>
    <x v="0"/>
    <n v="371"/>
    <x v="0"/>
    <n v="19"/>
    <n v="3"/>
    <x v="0"/>
    <n v="1"/>
    <n v="1739"/>
    <n v="4"/>
    <x v="1"/>
    <n v="80"/>
    <n v="1"/>
    <n v="3"/>
    <x v="0"/>
    <n v="3"/>
    <x v="1"/>
    <n v="9610"/>
    <n v="3840"/>
    <n v="3"/>
    <s v="Y"/>
    <x v="1"/>
    <n v="13"/>
    <n v="3"/>
    <n v="3"/>
    <n v="80"/>
    <n v="1"/>
    <n v="10"/>
    <n v="2"/>
    <n v="1"/>
    <x v="9"/>
    <m/>
    <n v="3"/>
    <n v="0"/>
    <n v="2"/>
  </r>
  <r>
    <n v="40"/>
    <x v="1"/>
    <x v="0"/>
    <n v="611"/>
    <x v="0"/>
    <n v="7"/>
    <n v="4"/>
    <x v="2"/>
    <n v="1"/>
    <n v="1740"/>
    <n v="2"/>
    <x v="1"/>
    <n v="88"/>
    <n v="3"/>
    <n v="5"/>
    <x v="5"/>
    <n v="2"/>
    <x v="0"/>
    <n v="19833"/>
    <n v="4349"/>
    <n v="1"/>
    <s v="Y"/>
    <x v="1"/>
    <n v="14"/>
    <n v="3"/>
    <n v="2"/>
    <n v="80"/>
    <n v="0"/>
    <n v="21"/>
    <n v="3"/>
    <n v="2"/>
    <x v="17"/>
    <m/>
    <n v="8"/>
    <n v="12"/>
    <n v="8"/>
  </r>
  <r>
    <n v="45"/>
    <x v="1"/>
    <x v="0"/>
    <n v="176"/>
    <x v="2"/>
    <n v="4"/>
    <n v="3"/>
    <x v="0"/>
    <n v="1"/>
    <n v="1744"/>
    <n v="3"/>
    <x v="0"/>
    <n v="56"/>
    <n v="1"/>
    <n v="3"/>
    <x v="8"/>
    <n v="3"/>
    <x v="1"/>
    <n v="9756"/>
    <n v="6595"/>
    <n v="4"/>
    <s v="Y"/>
    <x v="1"/>
    <n v="21"/>
    <n v="4"/>
    <n v="3"/>
    <n v="80"/>
    <n v="2"/>
    <n v="9"/>
    <n v="2"/>
    <n v="4"/>
    <x v="8"/>
    <m/>
    <n v="0"/>
    <n v="0"/>
    <n v="3"/>
  </r>
  <r>
    <n v="30"/>
    <x v="1"/>
    <x v="1"/>
    <n v="1312"/>
    <x v="1"/>
    <n v="2"/>
    <n v="4"/>
    <x v="4"/>
    <n v="1"/>
    <n v="1745"/>
    <n v="4"/>
    <x v="0"/>
    <n v="78"/>
    <n v="2"/>
    <n v="1"/>
    <x v="1"/>
    <n v="1"/>
    <x v="0"/>
    <n v="4968"/>
    <n v="26427"/>
    <n v="0"/>
    <s v="Y"/>
    <x v="1"/>
    <n v="16"/>
    <n v="3"/>
    <n v="4"/>
    <n v="80"/>
    <n v="0"/>
    <n v="10"/>
    <n v="2"/>
    <n v="3"/>
    <x v="7"/>
    <m/>
    <n v="7"/>
    <n v="0"/>
    <n v="7"/>
  </r>
  <r>
    <n v="24"/>
    <x v="1"/>
    <x v="1"/>
    <n v="897"/>
    <x v="2"/>
    <n v="10"/>
    <n v="3"/>
    <x v="2"/>
    <n v="1"/>
    <n v="1746"/>
    <n v="1"/>
    <x v="1"/>
    <n v="59"/>
    <n v="3"/>
    <n v="1"/>
    <x v="8"/>
    <n v="4"/>
    <x v="1"/>
    <n v="2145"/>
    <n v="2097"/>
    <n v="0"/>
    <s v="Y"/>
    <x v="1"/>
    <n v="14"/>
    <n v="3"/>
    <n v="4"/>
    <n v="80"/>
    <n v="1"/>
    <n v="3"/>
    <n v="2"/>
    <n v="3"/>
    <x v="4"/>
    <m/>
    <n v="2"/>
    <n v="2"/>
    <n v="1"/>
  </r>
  <r>
    <n v="30"/>
    <x v="0"/>
    <x v="1"/>
    <n v="600"/>
    <x v="2"/>
    <n v="8"/>
    <n v="3"/>
    <x v="5"/>
    <n v="1"/>
    <n v="1747"/>
    <n v="3"/>
    <x v="0"/>
    <n v="66"/>
    <n v="2"/>
    <n v="1"/>
    <x v="8"/>
    <n v="4"/>
    <x v="2"/>
    <n v="2180"/>
    <n v="9732"/>
    <n v="6"/>
    <s v="Y"/>
    <x v="1"/>
    <n v="11"/>
    <n v="3"/>
    <n v="3"/>
    <n v="80"/>
    <n v="1"/>
    <n v="6"/>
    <n v="0"/>
    <n v="2"/>
    <x v="9"/>
    <m/>
    <n v="2"/>
    <n v="1"/>
    <n v="2"/>
  </r>
  <r>
    <n v="31"/>
    <x v="1"/>
    <x v="0"/>
    <n v="1003"/>
    <x v="0"/>
    <n v="5"/>
    <n v="3"/>
    <x v="4"/>
    <n v="1"/>
    <n v="1749"/>
    <n v="1"/>
    <x v="1"/>
    <n v="51"/>
    <n v="3"/>
    <n v="2"/>
    <x v="0"/>
    <n v="3"/>
    <x v="1"/>
    <n v="8346"/>
    <n v="20943"/>
    <n v="1"/>
    <s v="Y"/>
    <x v="1"/>
    <n v="19"/>
    <n v="3"/>
    <n v="3"/>
    <n v="80"/>
    <n v="1"/>
    <n v="6"/>
    <n v="3"/>
    <n v="3"/>
    <x v="8"/>
    <m/>
    <n v="2"/>
    <n v="0"/>
    <n v="2"/>
  </r>
  <r>
    <n v="27"/>
    <x v="1"/>
    <x v="0"/>
    <n v="1054"/>
    <x v="1"/>
    <n v="8"/>
    <n v="3"/>
    <x v="2"/>
    <n v="1"/>
    <n v="1751"/>
    <n v="3"/>
    <x v="0"/>
    <n v="67"/>
    <n v="3"/>
    <n v="1"/>
    <x v="1"/>
    <n v="4"/>
    <x v="0"/>
    <n v="3445"/>
    <n v="6152"/>
    <n v="1"/>
    <s v="Y"/>
    <x v="1"/>
    <n v="11"/>
    <n v="3"/>
    <n v="3"/>
    <n v="80"/>
    <n v="0"/>
    <n v="6"/>
    <n v="5"/>
    <n v="2"/>
    <x v="0"/>
    <m/>
    <n v="2"/>
    <n v="1"/>
    <n v="4"/>
  </r>
  <r>
    <n v="29"/>
    <x v="0"/>
    <x v="0"/>
    <n v="428"/>
    <x v="0"/>
    <n v="9"/>
    <n v="3"/>
    <x v="3"/>
    <n v="1"/>
    <n v="1752"/>
    <n v="2"/>
    <x v="0"/>
    <n v="52"/>
    <n v="1"/>
    <n v="1"/>
    <x v="6"/>
    <n v="2"/>
    <x v="0"/>
    <n v="2760"/>
    <n v="14630"/>
    <n v="1"/>
    <s v="Y"/>
    <x v="1"/>
    <n v="13"/>
    <n v="3"/>
    <n v="3"/>
    <n v="80"/>
    <n v="0"/>
    <n v="2"/>
    <n v="3"/>
    <n v="3"/>
    <x v="4"/>
    <m/>
    <n v="2"/>
    <n v="2"/>
    <n v="2"/>
  </r>
  <r>
    <n v="29"/>
    <x v="1"/>
    <x v="1"/>
    <n v="461"/>
    <x v="1"/>
    <n v="1"/>
    <n v="3"/>
    <x v="0"/>
    <n v="1"/>
    <n v="1753"/>
    <n v="4"/>
    <x v="1"/>
    <n v="70"/>
    <n v="4"/>
    <n v="2"/>
    <x v="4"/>
    <n v="3"/>
    <x v="0"/>
    <n v="6294"/>
    <n v="23060"/>
    <n v="8"/>
    <s v="Y"/>
    <x v="0"/>
    <n v="12"/>
    <n v="3"/>
    <n v="4"/>
    <n v="80"/>
    <n v="0"/>
    <n v="10"/>
    <n v="5"/>
    <n v="4"/>
    <x v="11"/>
    <m/>
    <n v="2"/>
    <n v="0"/>
    <n v="2"/>
  </r>
  <r>
    <n v="30"/>
    <x v="1"/>
    <x v="0"/>
    <n v="979"/>
    <x v="0"/>
    <n v="15"/>
    <n v="2"/>
    <x v="3"/>
    <n v="1"/>
    <n v="1754"/>
    <n v="3"/>
    <x v="1"/>
    <n v="94"/>
    <n v="2"/>
    <n v="3"/>
    <x v="0"/>
    <n v="1"/>
    <x v="2"/>
    <n v="7140"/>
    <n v="3088"/>
    <n v="2"/>
    <s v="Y"/>
    <x v="1"/>
    <n v="11"/>
    <n v="3"/>
    <n v="1"/>
    <n v="80"/>
    <n v="1"/>
    <n v="12"/>
    <n v="2"/>
    <n v="3"/>
    <x v="5"/>
    <m/>
    <n v="7"/>
    <n v="1"/>
    <n v="7"/>
  </r>
  <r>
    <n v="34"/>
    <x v="1"/>
    <x v="0"/>
    <n v="181"/>
    <x v="1"/>
    <n v="2"/>
    <n v="4"/>
    <x v="2"/>
    <n v="1"/>
    <n v="1755"/>
    <n v="4"/>
    <x v="1"/>
    <n v="97"/>
    <n v="4"/>
    <n v="1"/>
    <x v="1"/>
    <n v="4"/>
    <x v="1"/>
    <n v="2932"/>
    <n v="5586"/>
    <n v="0"/>
    <s v="Y"/>
    <x v="0"/>
    <n v="14"/>
    <n v="3"/>
    <n v="1"/>
    <n v="80"/>
    <n v="3"/>
    <n v="6"/>
    <n v="3"/>
    <n v="3"/>
    <x v="8"/>
    <m/>
    <n v="0"/>
    <n v="1"/>
    <n v="2"/>
  </r>
  <r>
    <n v="33"/>
    <x v="1"/>
    <x v="2"/>
    <n v="1283"/>
    <x v="0"/>
    <n v="2"/>
    <n v="3"/>
    <x v="3"/>
    <n v="1"/>
    <n v="1756"/>
    <n v="4"/>
    <x v="0"/>
    <n v="62"/>
    <n v="3"/>
    <n v="2"/>
    <x v="0"/>
    <n v="2"/>
    <x v="0"/>
    <n v="5147"/>
    <n v="10697"/>
    <n v="8"/>
    <s v="Y"/>
    <x v="1"/>
    <n v="15"/>
    <n v="3"/>
    <n v="4"/>
    <n v="80"/>
    <n v="0"/>
    <n v="13"/>
    <n v="2"/>
    <n v="2"/>
    <x v="19"/>
    <m/>
    <n v="7"/>
    <n v="1"/>
    <n v="7"/>
  </r>
  <r>
    <n v="49"/>
    <x v="1"/>
    <x v="0"/>
    <n v="1313"/>
    <x v="0"/>
    <n v="11"/>
    <n v="4"/>
    <x v="3"/>
    <n v="1"/>
    <n v="1757"/>
    <n v="4"/>
    <x v="0"/>
    <n v="80"/>
    <n v="3"/>
    <n v="2"/>
    <x v="0"/>
    <n v="4"/>
    <x v="0"/>
    <n v="4507"/>
    <n v="8191"/>
    <n v="3"/>
    <s v="Y"/>
    <x v="1"/>
    <n v="12"/>
    <n v="3"/>
    <n v="3"/>
    <n v="80"/>
    <n v="0"/>
    <n v="8"/>
    <n v="1"/>
    <n v="4"/>
    <x v="8"/>
    <m/>
    <n v="1"/>
    <n v="0"/>
    <n v="4"/>
  </r>
  <r>
    <n v="33"/>
    <x v="0"/>
    <x v="0"/>
    <n v="211"/>
    <x v="0"/>
    <n v="16"/>
    <n v="3"/>
    <x v="0"/>
    <n v="1"/>
    <n v="1758"/>
    <n v="1"/>
    <x v="0"/>
    <n v="74"/>
    <n v="3"/>
    <n v="3"/>
    <x v="0"/>
    <n v="1"/>
    <x v="0"/>
    <n v="8564"/>
    <n v="10092"/>
    <n v="2"/>
    <s v="Y"/>
    <x v="0"/>
    <n v="20"/>
    <n v="4"/>
    <n v="3"/>
    <n v="80"/>
    <n v="0"/>
    <n v="11"/>
    <n v="2"/>
    <n v="2"/>
    <x v="2"/>
    <m/>
    <n v="0"/>
    <n v="0"/>
    <n v="0"/>
  </r>
  <r>
    <n v="38"/>
    <x v="1"/>
    <x v="1"/>
    <n v="594"/>
    <x v="1"/>
    <n v="2"/>
    <n v="2"/>
    <x v="2"/>
    <n v="1"/>
    <n v="1760"/>
    <n v="3"/>
    <x v="0"/>
    <n v="75"/>
    <n v="2"/>
    <n v="1"/>
    <x v="2"/>
    <n v="2"/>
    <x v="1"/>
    <n v="2468"/>
    <n v="15963"/>
    <n v="4"/>
    <s v="Y"/>
    <x v="1"/>
    <n v="14"/>
    <n v="3"/>
    <n v="2"/>
    <n v="80"/>
    <n v="1"/>
    <n v="9"/>
    <n v="4"/>
    <n v="2"/>
    <x v="0"/>
    <m/>
    <n v="1"/>
    <n v="0"/>
    <n v="5"/>
  </r>
  <r>
    <n v="31"/>
    <x v="0"/>
    <x v="0"/>
    <n v="1079"/>
    <x v="0"/>
    <n v="16"/>
    <n v="4"/>
    <x v="3"/>
    <n v="1"/>
    <n v="1761"/>
    <n v="1"/>
    <x v="1"/>
    <n v="70"/>
    <n v="3"/>
    <n v="3"/>
    <x v="0"/>
    <n v="3"/>
    <x v="1"/>
    <n v="8161"/>
    <n v="19002"/>
    <n v="2"/>
    <s v="Y"/>
    <x v="1"/>
    <n v="13"/>
    <n v="3"/>
    <n v="1"/>
    <n v="80"/>
    <n v="3"/>
    <n v="10"/>
    <n v="2"/>
    <n v="3"/>
    <x v="6"/>
    <m/>
    <n v="0"/>
    <n v="0"/>
    <n v="0"/>
  </r>
  <r>
    <n v="29"/>
    <x v="1"/>
    <x v="0"/>
    <n v="590"/>
    <x v="1"/>
    <n v="4"/>
    <n v="3"/>
    <x v="4"/>
    <n v="1"/>
    <n v="1762"/>
    <n v="4"/>
    <x v="0"/>
    <n v="91"/>
    <n v="2"/>
    <n v="1"/>
    <x v="1"/>
    <n v="1"/>
    <x v="2"/>
    <n v="2109"/>
    <n v="10007"/>
    <n v="1"/>
    <s v="Y"/>
    <x v="1"/>
    <n v="13"/>
    <n v="3"/>
    <n v="3"/>
    <n v="80"/>
    <n v="1"/>
    <n v="1"/>
    <n v="2"/>
    <n v="3"/>
    <x v="6"/>
    <m/>
    <n v="0"/>
    <n v="0"/>
    <n v="0"/>
  </r>
  <r>
    <n v="30"/>
    <x v="1"/>
    <x v="0"/>
    <n v="305"/>
    <x v="1"/>
    <n v="16"/>
    <n v="3"/>
    <x v="0"/>
    <n v="1"/>
    <n v="1763"/>
    <n v="3"/>
    <x v="1"/>
    <n v="58"/>
    <n v="4"/>
    <n v="2"/>
    <x v="4"/>
    <n v="3"/>
    <x v="1"/>
    <n v="5294"/>
    <n v="9128"/>
    <n v="3"/>
    <s v="Y"/>
    <x v="1"/>
    <n v="16"/>
    <n v="3"/>
    <n v="3"/>
    <n v="80"/>
    <n v="1"/>
    <n v="10"/>
    <n v="3"/>
    <n v="3"/>
    <x v="5"/>
    <m/>
    <n v="0"/>
    <n v="1"/>
    <n v="7"/>
  </r>
  <r>
    <n v="32"/>
    <x v="1"/>
    <x v="2"/>
    <n v="953"/>
    <x v="1"/>
    <n v="5"/>
    <n v="4"/>
    <x v="4"/>
    <n v="1"/>
    <n v="1764"/>
    <n v="2"/>
    <x v="1"/>
    <n v="65"/>
    <n v="3"/>
    <n v="1"/>
    <x v="1"/>
    <n v="2"/>
    <x v="0"/>
    <n v="2718"/>
    <n v="17674"/>
    <n v="2"/>
    <s v="Y"/>
    <x v="1"/>
    <n v="14"/>
    <n v="3"/>
    <n v="2"/>
    <n v="80"/>
    <n v="0"/>
    <n v="12"/>
    <n v="3"/>
    <n v="3"/>
    <x v="5"/>
    <m/>
    <n v="7"/>
    <n v="0"/>
    <n v="7"/>
  </r>
  <r>
    <n v="38"/>
    <x v="1"/>
    <x v="0"/>
    <n v="833"/>
    <x v="1"/>
    <n v="18"/>
    <n v="3"/>
    <x v="2"/>
    <n v="1"/>
    <n v="1766"/>
    <n v="2"/>
    <x v="1"/>
    <n v="60"/>
    <n v="1"/>
    <n v="2"/>
    <x v="4"/>
    <n v="4"/>
    <x v="1"/>
    <n v="5811"/>
    <n v="24539"/>
    <n v="3"/>
    <s v="Y"/>
    <x v="0"/>
    <n v="16"/>
    <n v="3"/>
    <n v="3"/>
    <n v="80"/>
    <n v="1"/>
    <n v="15"/>
    <n v="2"/>
    <n v="3"/>
    <x v="6"/>
    <m/>
    <n v="0"/>
    <n v="1"/>
    <n v="0"/>
  </r>
  <r>
    <n v="43"/>
    <x v="0"/>
    <x v="1"/>
    <n v="807"/>
    <x v="1"/>
    <n v="17"/>
    <n v="3"/>
    <x v="4"/>
    <n v="1"/>
    <n v="1767"/>
    <n v="3"/>
    <x v="1"/>
    <n v="38"/>
    <n v="2"/>
    <n v="1"/>
    <x v="1"/>
    <n v="3"/>
    <x v="1"/>
    <n v="2437"/>
    <n v="15587"/>
    <n v="9"/>
    <s v="Y"/>
    <x v="0"/>
    <n v="16"/>
    <n v="3"/>
    <n v="4"/>
    <n v="80"/>
    <n v="1"/>
    <n v="6"/>
    <n v="4"/>
    <n v="3"/>
    <x v="6"/>
    <m/>
    <n v="0"/>
    <n v="0"/>
    <n v="0"/>
  </r>
  <r>
    <n v="42"/>
    <x v="1"/>
    <x v="0"/>
    <n v="855"/>
    <x v="1"/>
    <n v="12"/>
    <n v="3"/>
    <x v="2"/>
    <n v="1"/>
    <n v="1768"/>
    <n v="2"/>
    <x v="1"/>
    <n v="57"/>
    <n v="3"/>
    <n v="1"/>
    <x v="2"/>
    <n v="2"/>
    <x v="2"/>
    <n v="2766"/>
    <n v="8952"/>
    <n v="8"/>
    <s v="Y"/>
    <x v="1"/>
    <n v="22"/>
    <n v="4"/>
    <n v="2"/>
    <n v="80"/>
    <n v="3"/>
    <n v="7"/>
    <n v="6"/>
    <n v="2"/>
    <x v="8"/>
    <m/>
    <n v="3"/>
    <n v="0"/>
    <n v="4"/>
  </r>
  <r>
    <n v="55"/>
    <x v="1"/>
    <x v="0"/>
    <n v="478"/>
    <x v="1"/>
    <n v="2"/>
    <n v="3"/>
    <x v="2"/>
    <n v="1"/>
    <n v="1770"/>
    <n v="3"/>
    <x v="1"/>
    <n v="60"/>
    <n v="2"/>
    <n v="5"/>
    <x v="7"/>
    <n v="1"/>
    <x v="1"/>
    <n v="19038"/>
    <n v="19805"/>
    <n v="8"/>
    <s v="Y"/>
    <x v="1"/>
    <n v="12"/>
    <n v="3"/>
    <n v="2"/>
    <n v="80"/>
    <n v="3"/>
    <n v="34"/>
    <n v="2"/>
    <n v="3"/>
    <x v="6"/>
    <m/>
    <n v="0"/>
    <n v="0"/>
    <n v="0"/>
  </r>
  <r>
    <n v="33"/>
    <x v="1"/>
    <x v="2"/>
    <n v="775"/>
    <x v="1"/>
    <n v="4"/>
    <n v="3"/>
    <x v="4"/>
    <n v="1"/>
    <n v="1771"/>
    <n v="4"/>
    <x v="1"/>
    <n v="90"/>
    <n v="3"/>
    <n v="2"/>
    <x v="1"/>
    <n v="2"/>
    <x v="2"/>
    <n v="3055"/>
    <n v="6194"/>
    <n v="5"/>
    <s v="Y"/>
    <x v="1"/>
    <n v="15"/>
    <n v="3"/>
    <n v="4"/>
    <n v="80"/>
    <n v="2"/>
    <n v="11"/>
    <n v="2"/>
    <n v="2"/>
    <x v="7"/>
    <m/>
    <n v="8"/>
    <n v="1"/>
    <n v="7"/>
  </r>
  <r>
    <n v="41"/>
    <x v="1"/>
    <x v="0"/>
    <n v="548"/>
    <x v="1"/>
    <n v="9"/>
    <n v="4"/>
    <x v="0"/>
    <n v="1"/>
    <n v="1772"/>
    <n v="3"/>
    <x v="1"/>
    <n v="94"/>
    <n v="3"/>
    <n v="1"/>
    <x v="2"/>
    <n v="1"/>
    <x v="2"/>
    <n v="2289"/>
    <n v="20520"/>
    <n v="1"/>
    <s v="Y"/>
    <x v="1"/>
    <n v="20"/>
    <n v="4"/>
    <n v="2"/>
    <n v="80"/>
    <n v="2"/>
    <n v="5"/>
    <n v="2"/>
    <n v="3"/>
    <x v="8"/>
    <m/>
    <n v="3"/>
    <n v="0"/>
    <n v="4"/>
  </r>
  <r>
    <n v="34"/>
    <x v="1"/>
    <x v="2"/>
    <n v="1375"/>
    <x v="0"/>
    <n v="10"/>
    <n v="3"/>
    <x v="0"/>
    <n v="1"/>
    <n v="1774"/>
    <n v="4"/>
    <x v="1"/>
    <n v="87"/>
    <n v="3"/>
    <n v="2"/>
    <x v="0"/>
    <n v="3"/>
    <x v="2"/>
    <n v="4001"/>
    <n v="12313"/>
    <n v="1"/>
    <s v="Y"/>
    <x v="0"/>
    <n v="14"/>
    <n v="3"/>
    <n v="3"/>
    <n v="80"/>
    <n v="1"/>
    <n v="15"/>
    <n v="3"/>
    <n v="3"/>
    <x v="15"/>
    <m/>
    <n v="14"/>
    <n v="0"/>
    <n v="7"/>
  </r>
  <r>
    <n v="53"/>
    <x v="1"/>
    <x v="2"/>
    <n v="661"/>
    <x v="1"/>
    <n v="1"/>
    <n v="4"/>
    <x v="2"/>
    <n v="1"/>
    <n v="1775"/>
    <n v="1"/>
    <x v="0"/>
    <n v="60"/>
    <n v="2"/>
    <n v="4"/>
    <x v="3"/>
    <n v="3"/>
    <x v="1"/>
    <n v="12965"/>
    <n v="22308"/>
    <n v="4"/>
    <s v="Y"/>
    <x v="0"/>
    <n v="20"/>
    <n v="4"/>
    <n v="4"/>
    <n v="80"/>
    <n v="3"/>
    <n v="27"/>
    <n v="2"/>
    <n v="2"/>
    <x v="11"/>
    <m/>
    <n v="2"/>
    <n v="0"/>
    <n v="2"/>
  </r>
  <r>
    <n v="43"/>
    <x v="1"/>
    <x v="0"/>
    <n v="244"/>
    <x v="2"/>
    <n v="2"/>
    <n v="3"/>
    <x v="0"/>
    <n v="1"/>
    <n v="1778"/>
    <n v="2"/>
    <x v="1"/>
    <n v="97"/>
    <n v="3"/>
    <n v="1"/>
    <x v="8"/>
    <n v="4"/>
    <x v="0"/>
    <n v="3539"/>
    <n v="5033"/>
    <n v="0"/>
    <s v="Y"/>
    <x v="1"/>
    <n v="13"/>
    <n v="3"/>
    <n v="2"/>
    <n v="80"/>
    <n v="0"/>
    <n v="10"/>
    <n v="5"/>
    <n v="3"/>
    <x v="7"/>
    <m/>
    <n v="7"/>
    <n v="1"/>
    <n v="8"/>
  </r>
  <r>
    <n v="34"/>
    <x v="1"/>
    <x v="0"/>
    <n v="511"/>
    <x v="0"/>
    <n v="3"/>
    <n v="2"/>
    <x v="0"/>
    <n v="1"/>
    <n v="1779"/>
    <n v="4"/>
    <x v="0"/>
    <n v="32"/>
    <n v="1"/>
    <n v="2"/>
    <x v="0"/>
    <n v="4"/>
    <x v="0"/>
    <n v="6029"/>
    <n v="25353"/>
    <n v="5"/>
    <s v="Y"/>
    <x v="1"/>
    <n v="12"/>
    <n v="3"/>
    <n v="1"/>
    <n v="80"/>
    <n v="0"/>
    <n v="6"/>
    <n v="3"/>
    <n v="3"/>
    <x v="4"/>
    <m/>
    <n v="2"/>
    <n v="2"/>
    <n v="2"/>
  </r>
  <r>
    <n v="21"/>
    <x v="0"/>
    <x v="0"/>
    <n v="337"/>
    <x v="0"/>
    <n v="7"/>
    <n v="1"/>
    <x v="3"/>
    <n v="1"/>
    <n v="1780"/>
    <n v="2"/>
    <x v="1"/>
    <n v="31"/>
    <n v="3"/>
    <n v="1"/>
    <x v="6"/>
    <n v="2"/>
    <x v="0"/>
    <n v="2679"/>
    <n v="4567"/>
    <n v="1"/>
    <s v="Y"/>
    <x v="1"/>
    <n v="13"/>
    <n v="3"/>
    <n v="2"/>
    <n v="80"/>
    <n v="0"/>
    <n v="1"/>
    <n v="3"/>
    <n v="3"/>
    <x v="6"/>
    <m/>
    <n v="0"/>
    <n v="1"/>
    <n v="0"/>
  </r>
  <r>
    <n v="38"/>
    <x v="1"/>
    <x v="0"/>
    <n v="1153"/>
    <x v="1"/>
    <n v="6"/>
    <n v="2"/>
    <x v="1"/>
    <n v="1"/>
    <n v="1782"/>
    <n v="4"/>
    <x v="0"/>
    <n v="40"/>
    <n v="2"/>
    <n v="1"/>
    <x v="2"/>
    <n v="3"/>
    <x v="1"/>
    <n v="3702"/>
    <n v="16376"/>
    <n v="1"/>
    <s v="Y"/>
    <x v="1"/>
    <n v="11"/>
    <n v="3"/>
    <n v="2"/>
    <n v="80"/>
    <n v="1"/>
    <n v="5"/>
    <n v="3"/>
    <n v="3"/>
    <x v="8"/>
    <m/>
    <n v="4"/>
    <n v="0"/>
    <n v="4"/>
  </r>
  <r>
    <n v="22"/>
    <x v="0"/>
    <x v="0"/>
    <n v="1294"/>
    <x v="1"/>
    <n v="8"/>
    <n v="1"/>
    <x v="2"/>
    <n v="1"/>
    <n v="1783"/>
    <n v="3"/>
    <x v="0"/>
    <n v="79"/>
    <n v="3"/>
    <n v="1"/>
    <x v="2"/>
    <n v="1"/>
    <x v="1"/>
    <n v="2398"/>
    <n v="15999"/>
    <n v="1"/>
    <s v="Y"/>
    <x v="0"/>
    <n v="17"/>
    <n v="3"/>
    <n v="3"/>
    <n v="80"/>
    <n v="0"/>
    <n v="1"/>
    <n v="6"/>
    <n v="3"/>
    <x v="6"/>
    <m/>
    <n v="0"/>
    <n v="0"/>
    <n v="0"/>
  </r>
  <r>
    <n v="31"/>
    <x v="1"/>
    <x v="0"/>
    <n v="196"/>
    <x v="0"/>
    <n v="29"/>
    <n v="4"/>
    <x v="3"/>
    <n v="1"/>
    <n v="1784"/>
    <n v="1"/>
    <x v="0"/>
    <n v="91"/>
    <n v="2"/>
    <n v="2"/>
    <x v="0"/>
    <n v="4"/>
    <x v="1"/>
    <n v="5468"/>
    <n v="13402"/>
    <n v="1"/>
    <s v="Y"/>
    <x v="1"/>
    <n v="14"/>
    <n v="3"/>
    <n v="1"/>
    <n v="80"/>
    <n v="2"/>
    <n v="13"/>
    <n v="3"/>
    <n v="3"/>
    <x v="12"/>
    <m/>
    <n v="7"/>
    <n v="5"/>
    <n v="7"/>
  </r>
  <r>
    <n v="51"/>
    <x v="1"/>
    <x v="0"/>
    <n v="942"/>
    <x v="1"/>
    <n v="3"/>
    <n v="3"/>
    <x v="4"/>
    <n v="1"/>
    <n v="1786"/>
    <n v="1"/>
    <x v="0"/>
    <n v="53"/>
    <n v="3"/>
    <n v="3"/>
    <x v="5"/>
    <n v="3"/>
    <x v="1"/>
    <n v="13116"/>
    <n v="22984"/>
    <n v="2"/>
    <s v="Y"/>
    <x v="1"/>
    <n v="11"/>
    <n v="3"/>
    <n v="4"/>
    <n v="80"/>
    <n v="0"/>
    <n v="15"/>
    <n v="2"/>
    <n v="3"/>
    <x v="4"/>
    <m/>
    <n v="2"/>
    <n v="2"/>
    <n v="2"/>
  </r>
  <r>
    <n v="37"/>
    <x v="1"/>
    <x v="0"/>
    <n v="589"/>
    <x v="0"/>
    <n v="9"/>
    <n v="2"/>
    <x v="3"/>
    <n v="1"/>
    <n v="1787"/>
    <n v="2"/>
    <x v="1"/>
    <n v="46"/>
    <n v="2"/>
    <n v="2"/>
    <x v="0"/>
    <n v="2"/>
    <x v="1"/>
    <n v="4189"/>
    <n v="8800"/>
    <n v="1"/>
    <s v="Y"/>
    <x v="1"/>
    <n v="14"/>
    <n v="3"/>
    <n v="1"/>
    <n v="80"/>
    <n v="2"/>
    <n v="5"/>
    <n v="2"/>
    <n v="3"/>
    <x v="8"/>
    <m/>
    <n v="2"/>
    <n v="0"/>
    <n v="3"/>
  </r>
  <r>
    <n v="46"/>
    <x v="1"/>
    <x v="0"/>
    <n v="734"/>
    <x v="1"/>
    <n v="2"/>
    <n v="4"/>
    <x v="2"/>
    <n v="1"/>
    <n v="1789"/>
    <n v="3"/>
    <x v="1"/>
    <n v="46"/>
    <n v="3"/>
    <n v="5"/>
    <x v="7"/>
    <n v="4"/>
    <x v="2"/>
    <n v="19328"/>
    <n v="14218"/>
    <n v="7"/>
    <s v="Y"/>
    <x v="0"/>
    <n v="17"/>
    <n v="3"/>
    <n v="3"/>
    <n v="80"/>
    <n v="1"/>
    <n v="24"/>
    <n v="3"/>
    <n v="3"/>
    <x v="4"/>
    <m/>
    <n v="1"/>
    <n v="2"/>
    <n v="2"/>
  </r>
  <r>
    <n v="36"/>
    <x v="1"/>
    <x v="0"/>
    <n v="1383"/>
    <x v="1"/>
    <n v="10"/>
    <n v="3"/>
    <x v="0"/>
    <n v="1"/>
    <n v="1790"/>
    <n v="4"/>
    <x v="1"/>
    <n v="90"/>
    <n v="3"/>
    <n v="3"/>
    <x v="4"/>
    <n v="1"/>
    <x v="1"/>
    <n v="8321"/>
    <n v="25949"/>
    <n v="7"/>
    <s v="Y"/>
    <x v="0"/>
    <n v="13"/>
    <n v="3"/>
    <n v="4"/>
    <n v="80"/>
    <n v="1"/>
    <n v="15"/>
    <n v="1"/>
    <n v="3"/>
    <x v="12"/>
    <m/>
    <n v="8"/>
    <n v="5"/>
    <n v="7"/>
  </r>
  <r>
    <n v="44"/>
    <x v="0"/>
    <x v="1"/>
    <n v="429"/>
    <x v="1"/>
    <n v="1"/>
    <n v="2"/>
    <x v="2"/>
    <n v="1"/>
    <n v="1792"/>
    <n v="3"/>
    <x v="1"/>
    <n v="99"/>
    <n v="3"/>
    <n v="1"/>
    <x v="1"/>
    <n v="2"/>
    <x v="2"/>
    <n v="2342"/>
    <n v="11092"/>
    <n v="1"/>
    <s v="Y"/>
    <x v="0"/>
    <n v="12"/>
    <n v="3"/>
    <n v="3"/>
    <n v="80"/>
    <n v="3"/>
    <n v="6"/>
    <n v="2"/>
    <n v="2"/>
    <x v="8"/>
    <m/>
    <n v="3"/>
    <n v="2"/>
    <n v="3"/>
  </r>
  <r>
    <n v="37"/>
    <x v="1"/>
    <x v="0"/>
    <n v="1239"/>
    <x v="2"/>
    <n v="8"/>
    <n v="2"/>
    <x v="1"/>
    <n v="1"/>
    <n v="1794"/>
    <n v="3"/>
    <x v="1"/>
    <n v="89"/>
    <n v="3"/>
    <n v="2"/>
    <x v="8"/>
    <n v="2"/>
    <x v="2"/>
    <n v="4071"/>
    <n v="12832"/>
    <n v="2"/>
    <s v="Y"/>
    <x v="1"/>
    <n v="13"/>
    <n v="3"/>
    <n v="3"/>
    <n v="80"/>
    <n v="0"/>
    <n v="19"/>
    <n v="4"/>
    <n v="2"/>
    <x v="1"/>
    <m/>
    <n v="0"/>
    <n v="4"/>
    <n v="7"/>
  </r>
  <r>
    <n v="35"/>
    <x v="0"/>
    <x v="0"/>
    <n v="303"/>
    <x v="0"/>
    <n v="27"/>
    <n v="3"/>
    <x v="0"/>
    <n v="1"/>
    <n v="1797"/>
    <n v="3"/>
    <x v="1"/>
    <n v="84"/>
    <n v="3"/>
    <n v="2"/>
    <x v="0"/>
    <n v="4"/>
    <x v="0"/>
    <n v="5813"/>
    <n v="13492"/>
    <n v="1"/>
    <s v="Y"/>
    <x v="0"/>
    <n v="18"/>
    <n v="3"/>
    <n v="4"/>
    <n v="80"/>
    <n v="0"/>
    <n v="10"/>
    <n v="2"/>
    <n v="3"/>
    <x v="1"/>
    <m/>
    <n v="7"/>
    <n v="7"/>
    <n v="7"/>
  </r>
  <r>
    <n v="33"/>
    <x v="1"/>
    <x v="0"/>
    <n v="867"/>
    <x v="1"/>
    <n v="8"/>
    <n v="4"/>
    <x v="0"/>
    <n v="1"/>
    <n v="1798"/>
    <n v="4"/>
    <x v="1"/>
    <n v="90"/>
    <n v="4"/>
    <n v="1"/>
    <x v="1"/>
    <n v="1"/>
    <x v="1"/>
    <n v="3143"/>
    <n v="6076"/>
    <n v="6"/>
    <s v="Y"/>
    <x v="1"/>
    <n v="19"/>
    <n v="3"/>
    <n v="2"/>
    <n v="80"/>
    <n v="1"/>
    <n v="14"/>
    <n v="1"/>
    <n v="3"/>
    <x v="1"/>
    <m/>
    <n v="8"/>
    <n v="7"/>
    <n v="6"/>
  </r>
  <r>
    <n v="28"/>
    <x v="1"/>
    <x v="0"/>
    <n v="1181"/>
    <x v="1"/>
    <n v="1"/>
    <n v="3"/>
    <x v="0"/>
    <n v="1"/>
    <n v="1799"/>
    <n v="3"/>
    <x v="1"/>
    <n v="82"/>
    <n v="3"/>
    <n v="1"/>
    <x v="1"/>
    <n v="4"/>
    <x v="1"/>
    <n v="2044"/>
    <n v="5531"/>
    <n v="1"/>
    <s v="Y"/>
    <x v="1"/>
    <n v="11"/>
    <n v="3"/>
    <n v="3"/>
    <n v="80"/>
    <n v="1"/>
    <n v="5"/>
    <n v="6"/>
    <n v="4"/>
    <x v="8"/>
    <m/>
    <n v="3"/>
    <n v="0"/>
    <n v="3"/>
  </r>
  <r>
    <n v="39"/>
    <x v="1"/>
    <x v="0"/>
    <n v="1253"/>
    <x v="1"/>
    <n v="10"/>
    <n v="1"/>
    <x v="2"/>
    <n v="1"/>
    <n v="1800"/>
    <n v="3"/>
    <x v="1"/>
    <n v="65"/>
    <n v="3"/>
    <n v="3"/>
    <x v="7"/>
    <n v="3"/>
    <x v="0"/>
    <n v="13464"/>
    <n v="7914"/>
    <n v="7"/>
    <s v="Y"/>
    <x v="1"/>
    <n v="21"/>
    <n v="4"/>
    <n v="3"/>
    <n v="80"/>
    <n v="0"/>
    <n v="9"/>
    <n v="3"/>
    <n v="3"/>
    <x v="9"/>
    <m/>
    <n v="3"/>
    <n v="2"/>
    <n v="2"/>
  </r>
  <r>
    <n v="46"/>
    <x v="1"/>
    <x v="2"/>
    <n v="849"/>
    <x v="0"/>
    <n v="26"/>
    <n v="2"/>
    <x v="0"/>
    <n v="1"/>
    <n v="1801"/>
    <n v="2"/>
    <x v="1"/>
    <n v="98"/>
    <n v="2"/>
    <n v="2"/>
    <x v="0"/>
    <n v="2"/>
    <x v="0"/>
    <n v="7991"/>
    <n v="25166"/>
    <n v="8"/>
    <s v="Y"/>
    <x v="1"/>
    <n v="15"/>
    <n v="3"/>
    <n v="3"/>
    <n v="80"/>
    <n v="0"/>
    <n v="6"/>
    <n v="3"/>
    <n v="3"/>
    <x v="4"/>
    <m/>
    <n v="2"/>
    <n v="2"/>
    <n v="2"/>
  </r>
  <r>
    <n v="40"/>
    <x v="1"/>
    <x v="0"/>
    <n v="616"/>
    <x v="1"/>
    <n v="2"/>
    <n v="2"/>
    <x v="0"/>
    <n v="1"/>
    <n v="1802"/>
    <n v="3"/>
    <x v="0"/>
    <n v="99"/>
    <n v="3"/>
    <n v="1"/>
    <x v="2"/>
    <n v="1"/>
    <x v="1"/>
    <n v="3377"/>
    <n v="25605"/>
    <n v="4"/>
    <s v="Y"/>
    <x v="1"/>
    <n v="17"/>
    <n v="3"/>
    <n v="4"/>
    <n v="80"/>
    <n v="1"/>
    <n v="7"/>
    <n v="5"/>
    <n v="2"/>
    <x v="9"/>
    <m/>
    <n v="3"/>
    <n v="0"/>
    <n v="2"/>
  </r>
  <r>
    <n v="42"/>
    <x v="1"/>
    <x v="0"/>
    <n v="1128"/>
    <x v="1"/>
    <n v="13"/>
    <n v="3"/>
    <x v="2"/>
    <n v="1"/>
    <n v="1803"/>
    <n v="2"/>
    <x v="1"/>
    <n v="95"/>
    <n v="4"/>
    <n v="2"/>
    <x v="4"/>
    <n v="1"/>
    <x v="1"/>
    <n v="5538"/>
    <n v="5696"/>
    <n v="5"/>
    <s v="Y"/>
    <x v="1"/>
    <n v="18"/>
    <n v="3"/>
    <n v="3"/>
    <n v="80"/>
    <n v="2"/>
    <n v="10"/>
    <n v="2"/>
    <n v="2"/>
    <x v="2"/>
    <m/>
    <n v="0"/>
    <n v="0"/>
    <n v="0"/>
  </r>
  <r>
    <n v="35"/>
    <x v="1"/>
    <x v="2"/>
    <n v="1180"/>
    <x v="1"/>
    <n v="2"/>
    <n v="2"/>
    <x v="2"/>
    <n v="1"/>
    <n v="1804"/>
    <n v="2"/>
    <x v="1"/>
    <n v="90"/>
    <n v="3"/>
    <n v="2"/>
    <x v="3"/>
    <n v="4"/>
    <x v="2"/>
    <n v="5762"/>
    <n v="24442"/>
    <n v="2"/>
    <s v="Y"/>
    <x v="1"/>
    <n v="14"/>
    <n v="3"/>
    <n v="3"/>
    <n v="80"/>
    <n v="1"/>
    <n v="15"/>
    <n v="6"/>
    <n v="3"/>
    <x v="5"/>
    <m/>
    <n v="7"/>
    <n v="1"/>
    <n v="7"/>
  </r>
  <r>
    <n v="38"/>
    <x v="1"/>
    <x v="2"/>
    <n v="1336"/>
    <x v="2"/>
    <n v="2"/>
    <n v="3"/>
    <x v="5"/>
    <n v="1"/>
    <n v="1805"/>
    <n v="1"/>
    <x v="1"/>
    <n v="100"/>
    <n v="3"/>
    <n v="1"/>
    <x v="8"/>
    <n v="2"/>
    <x v="2"/>
    <n v="2592"/>
    <n v="7129"/>
    <n v="5"/>
    <s v="Y"/>
    <x v="1"/>
    <n v="13"/>
    <n v="3"/>
    <n v="4"/>
    <n v="80"/>
    <n v="3"/>
    <n v="13"/>
    <n v="3"/>
    <n v="3"/>
    <x v="19"/>
    <m/>
    <n v="10"/>
    <n v="3"/>
    <n v="8"/>
  </r>
  <r>
    <n v="34"/>
    <x v="0"/>
    <x v="1"/>
    <n v="234"/>
    <x v="1"/>
    <n v="9"/>
    <n v="4"/>
    <x v="0"/>
    <n v="1"/>
    <n v="1807"/>
    <n v="4"/>
    <x v="1"/>
    <n v="93"/>
    <n v="3"/>
    <n v="2"/>
    <x v="2"/>
    <n v="1"/>
    <x v="1"/>
    <n v="5346"/>
    <n v="6208"/>
    <n v="4"/>
    <s v="Y"/>
    <x v="1"/>
    <n v="17"/>
    <n v="3"/>
    <n v="3"/>
    <n v="80"/>
    <n v="1"/>
    <n v="11"/>
    <n v="3"/>
    <n v="2"/>
    <x v="5"/>
    <m/>
    <n v="1"/>
    <n v="0"/>
    <n v="7"/>
  </r>
  <r>
    <n v="37"/>
    <x v="0"/>
    <x v="0"/>
    <n v="370"/>
    <x v="1"/>
    <n v="10"/>
    <n v="4"/>
    <x v="2"/>
    <n v="1"/>
    <n v="1809"/>
    <n v="4"/>
    <x v="1"/>
    <n v="58"/>
    <n v="3"/>
    <n v="2"/>
    <x v="3"/>
    <n v="1"/>
    <x v="0"/>
    <n v="4213"/>
    <n v="4992"/>
    <n v="1"/>
    <s v="Y"/>
    <x v="1"/>
    <n v="15"/>
    <n v="3"/>
    <n v="2"/>
    <n v="80"/>
    <n v="0"/>
    <n v="10"/>
    <n v="4"/>
    <n v="1"/>
    <x v="1"/>
    <m/>
    <n v="3"/>
    <n v="0"/>
    <n v="8"/>
  </r>
  <r>
    <n v="39"/>
    <x v="1"/>
    <x v="1"/>
    <n v="766"/>
    <x v="0"/>
    <n v="20"/>
    <n v="3"/>
    <x v="0"/>
    <n v="1"/>
    <n v="1812"/>
    <n v="3"/>
    <x v="1"/>
    <n v="83"/>
    <n v="3"/>
    <n v="2"/>
    <x v="0"/>
    <n v="4"/>
    <x v="2"/>
    <n v="4127"/>
    <n v="19188"/>
    <n v="2"/>
    <s v="Y"/>
    <x v="1"/>
    <n v="18"/>
    <n v="3"/>
    <n v="4"/>
    <n v="80"/>
    <n v="1"/>
    <n v="7"/>
    <n v="6"/>
    <n v="3"/>
    <x v="4"/>
    <m/>
    <n v="1"/>
    <n v="2"/>
    <n v="2"/>
  </r>
  <r>
    <n v="43"/>
    <x v="1"/>
    <x v="2"/>
    <n v="343"/>
    <x v="1"/>
    <n v="9"/>
    <n v="3"/>
    <x v="0"/>
    <n v="1"/>
    <n v="1813"/>
    <n v="1"/>
    <x v="1"/>
    <n v="52"/>
    <n v="3"/>
    <n v="1"/>
    <x v="1"/>
    <n v="3"/>
    <x v="0"/>
    <n v="2438"/>
    <n v="24978"/>
    <n v="4"/>
    <s v="Y"/>
    <x v="1"/>
    <n v="13"/>
    <n v="3"/>
    <n v="3"/>
    <n v="80"/>
    <n v="0"/>
    <n v="7"/>
    <n v="2"/>
    <n v="2"/>
    <x v="11"/>
    <m/>
    <n v="2"/>
    <n v="1"/>
    <n v="2"/>
  </r>
  <r>
    <n v="41"/>
    <x v="1"/>
    <x v="0"/>
    <n v="447"/>
    <x v="1"/>
    <n v="5"/>
    <n v="3"/>
    <x v="0"/>
    <n v="1"/>
    <n v="1814"/>
    <n v="2"/>
    <x v="1"/>
    <n v="85"/>
    <n v="4"/>
    <n v="2"/>
    <x v="4"/>
    <n v="2"/>
    <x v="0"/>
    <n v="6870"/>
    <n v="15530"/>
    <n v="3"/>
    <s v="Y"/>
    <x v="1"/>
    <n v="12"/>
    <n v="3"/>
    <n v="1"/>
    <n v="80"/>
    <n v="0"/>
    <n v="11"/>
    <n v="3"/>
    <n v="1"/>
    <x v="11"/>
    <m/>
    <n v="2"/>
    <n v="1"/>
    <n v="2"/>
  </r>
  <r>
    <n v="41"/>
    <x v="1"/>
    <x v="0"/>
    <n v="796"/>
    <x v="0"/>
    <n v="4"/>
    <n v="1"/>
    <x v="3"/>
    <n v="1"/>
    <n v="1815"/>
    <n v="3"/>
    <x v="0"/>
    <n v="81"/>
    <n v="3"/>
    <n v="3"/>
    <x v="0"/>
    <n v="3"/>
    <x v="2"/>
    <n v="10447"/>
    <n v="26458"/>
    <n v="0"/>
    <s v="Y"/>
    <x v="0"/>
    <n v="13"/>
    <n v="3"/>
    <n v="4"/>
    <n v="80"/>
    <n v="1"/>
    <n v="23"/>
    <n v="3"/>
    <n v="4"/>
    <x v="14"/>
    <m/>
    <n v="14"/>
    <n v="13"/>
    <n v="5"/>
  </r>
  <r>
    <n v="30"/>
    <x v="1"/>
    <x v="0"/>
    <n v="1092"/>
    <x v="1"/>
    <n v="10"/>
    <n v="3"/>
    <x v="2"/>
    <n v="1"/>
    <n v="1816"/>
    <n v="1"/>
    <x v="0"/>
    <n v="64"/>
    <n v="3"/>
    <n v="3"/>
    <x v="3"/>
    <n v="3"/>
    <x v="0"/>
    <n v="9667"/>
    <n v="2739"/>
    <n v="9"/>
    <s v="Y"/>
    <x v="1"/>
    <n v="14"/>
    <n v="3"/>
    <n v="2"/>
    <n v="80"/>
    <n v="0"/>
    <n v="9"/>
    <n v="3"/>
    <n v="3"/>
    <x v="5"/>
    <m/>
    <n v="7"/>
    <n v="0"/>
    <n v="2"/>
  </r>
  <r>
    <n v="26"/>
    <x v="0"/>
    <x v="0"/>
    <n v="920"/>
    <x v="2"/>
    <n v="20"/>
    <n v="2"/>
    <x v="2"/>
    <n v="1"/>
    <n v="1818"/>
    <n v="4"/>
    <x v="0"/>
    <n v="69"/>
    <n v="3"/>
    <n v="1"/>
    <x v="8"/>
    <n v="2"/>
    <x v="1"/>
    <n v="2148"/>
    <n v="6889"/>
    <n v="0"/>
    <s v="Y"/>
    <x v="0"/>
    <n v="11"/>
    <n v="3"/>
    <n v="3"/>
    <n v="80"/>
    <n v="0"/>
    <n v="6"/>
    <n v="3"/>
    <n v="3"/>
    <x v="8"/>
    <m/>
    <n v="1"/>
    <n v="1"/>
    <n v="4"/>
  </r>
  <r>
    <n v="46"/>
    <x v="0"/>
    <x v="0"/>
    <n v="261"/>
    <x v="1"/>
    <n v="21"/>
    <n v="2"/>
    <x v="2"/>
    <n v="1"/>
    <n v="1821"/>
    <n v="4"/>
    <x v="0"/>
    <n v="66"/>
    <n v="3"/>
    <n v="2"/>
    <x v="4"/>
    <n v="2"/>
    <x v="1"/>
    <n v="8926"/>
    <n v="10842"/>
    <n v="4"/>
    <s v="Y"/>
    <x v="1"/>
    <n v="22"/>
    <n v="4"/>
    <n v="4"/>
    <n v="80"/>
    <n v="1"/>
    <n v="13"/>
    <n v="2"/>
    <n v="4"/>
    <x v="7"/>
    <m/>
    <n v="7"/>
    <n v="3"/>
    <n v="7"/>
  </r>
  <r>
    <n v="40"/>
    <x v="1"/>
    <x v="0"/>
    <n v="1194"/>
    <x v="1"/>
    <n v="1"/>
    <n v="3"/>
    <x v="0"/>
    <n v="1"/>
    <n v="1822"/>
    <n v="3"/>
    <x v="0"/>
    <n v="52"/>
    <n v="3"/>
    <n v="2"/>
    <x v="4"/>
    <n v="4"/>
    <x v="2"/>
    <n v="6513"/>
    <n v="9060"/>
    <n v="4"/>
    <s v="Y"/>
    <x v="1"/>
    <n v="17"/>
    <n v="3"/>
    <n v="4"/>
    <n v="80"/>
    <n v="1"/>
    <n v="12"/>
    <n v="3"/>
    <n v="3"/>
    <x v="8"/>
    <m/>
    <n v="3"/>
    <n v="0"/>
    <n v="3"/>
  </r>
  <r>
    <n v="34"/>
    <x v="1"/>
    <x v="0"/>
    <n v="810"/>
    <x v="0"/>
    <n v="8"/>
    <n v="2"/>
    <x v="4"/>
    <n v="1"/>
    <n v="1823"/>
    <n v="2"/>
    <x v="1"/>
    <n v="92"/>
    <n v="4"/>
    <n v="2"/>
    <x v="0"/>
    <n v="3"/>
    <x v="1"/>
    <n v="6799"/>
    <n v="22128"/>
    <n v="1"/>
    <s v="Y"/>
    <x v="1"/>
    <n v="21"/>
    <n v="4"/>
    <n v="3"/>
    <n v="80"/>
    <n v="2"/>
    <n v="10"/>
    <n v="5"/>
    <n v="3"/>
    <x v="1"/>
    <m/>
    <n v="8"/>
    <n v="4"/>
    <n v="8"/>
  </r>
  <r>
    <n v="58"/>
    <x v="1"/>
    <x v="2"/>
    <n v="350"/>
    <x v="0"/>
    <n v="2"/>
    <n v="3"/>
    <x v="2"/>
    <n v="1"/>
    <n v="1824"/>
    <n v="2"/>
    <x v="1"/>
    <n v="52"/>
    <n v="3"/>
    <n v="4"/>
    <x v="5"/>
    <n v="2"/>
    <x v="2"/>
    <n v="16291"/>
    <n v="22577"/>
    <n v="4"/>
    <s v="Y"/>
    <x v="1"/>
    <n v="22"/>
    <n v="4"/>
    <n v="4"/>
    <n v="80"/>
    <n v="1"/>
    <n v="37"/>
    <n v="0"/>
    <n v="2"/>
    <x v="22"/>
    <m/>
    <n v="9"/>
    <n v="14"/>
    <n v="14"/>
  </r>
  <r>
    <n v="35"/>
    <x v="1"/>
    <x v="0"/>
    <n v="185"/>
    <x v="1"/>
    <n v="23"/>
    <n v="4"/>
    <x v="2"/>
    <n v="1"/>
    <n v="1826"/>
    <n v="2"/>
    <x v="1"/>
    <n v="91"/>
    <n v="1"/>
    <n v="1"/>
    <x v="2"/>
    <n v="3"/>
    <x v="1"/>
    <n v="2705"/>
    <n v="9696"/>
    <n v="0"/>
    <s v="Y"/>
    <x v="1"/>
    <n v="16"/>
    <n v="3"/>
    <n v="2"/>
    <n v="80"/>
    <n v="1"/>
    <n v="6"/>
    <n v="2"/>
    <n v="4"/>
    <x v="8"/>
    <m/>
    <n v="4"/>
    <n v="0"/>
    <n v="3"/>
  </r>
  <r>
    <n v="47"/>
    <x v="1"/>
    <x v="0"/>
    <n v="1001"/>
    <x v="1"/>
    <n v="4"/>
    <n v="3"/>
    <x v="0"/>
    <n v="1"/>
    <n v="1827"/>
    <n v="3"/>
    <x v="0"/>
    <n v="92"/>
    <n v="2"/>
    <n v="3"/>
    <x v="3"/>
    <n v="2"/>
    <x v="2"/>
    <n v="10333"/>
    <n v="19271"/>
    <n v="8"/>
    <s v="Y"/>
    <x v="0"/>
    <n v="12"/>
    <n v="3"/>
    <n v="3"/>
    <n v="80"/>
    <n v="1"/>
    <n v="28"/>
    <n v="4"/>
    <n v="3"/>
    <x v="14"/>
    <m/>
    <n v="11"/>
    <n v="14"/>
    <n v="10"/>
  </r>
  <r>
    <n v="40"/>
    <x v="1"/>
    <x v="0"/>
    <n v="750"/>
    <x v="1"/>
    <n v="12"/>
    <n v="3"/>
    <x v="0"/>
    <n v="1"/>
    <n v="1829"/>
    <n v="2"/>
    <x v="0"/>
    <n v="47"/>
    <n v="3"/>
    <n v="2"/>
    <x v="4"/>
    <n v="1"/>
    <x v="2"/>
    <n v="4448"/>
    <n v="10748"/>
    <n v="2"/>
    <s v="Y"/>
    <x v="1"/>
    <n v="12"/>
    <n v="3"/>
    <n v="2"/>
    <n v="80"/>
    <n v="1"/>
    <n v="15"/>
    <n v="3"/>
    <n v="3"/>
    <x v="5"/>
    <m/>
    <n v="4"/>
    <n v="7"/>
    <n v="7"/>
  </r>
  <r>
    <n v="54"/>
    <x v="1"/>
    <x v="0"/>
    <n v="431"/>
    <x v="1"/>
    <n v="7"/>
    <n v="4"/>
    <x v="2"/>
    <n v="1"/>
    <n v="1830"/>
    <n v="4"/>
    <x v="0"/>
    <n v="68"/>
    <n v="3"/>
    <n v="2"/>
    <x v="1"/>
    <n v="4"/>
    <x v="1"/>
    <n v="6854"/>
    <n v="15696"/>
    <n v="4"/>
    <s v="Y"/>
    <x v="1"/>
    <n v="15"/>
    <n v="3"/>
    <n v="2"/>
    <n v="80"/>
    <n v="1"/>
    <n v="14"/>
    <n v="2"/>
    <n v="2"/>
    <x v="5"/>
    <m/>
    <n v="1"/>
    <n v="1"/>
    <n v="7"/>
  </r>
  <r>
    <n v="31"/>
    <x v="1"/>
    <x v="1"/>
    <n v="1125"/>
    <x v="0"/>
    <n v="7"/>
    <n v="4"/>
    <x v="3"/>
    <n v="1"/>
    <n v="1833"/>
    <n v="1"/>
    <x v="0"/>
    <n v="68"/>
    <n v="3"/>
    <n v="3"/>
    <x v="0"/>
    <n v="1"/>
    <x v="1"/>
    <n v="9637"/>
    <n v="8277"/>
    <n v="2"/>
    <s v="Y"/>
    <x v="1"/>
    <n v="14"/>
    <n v="3"/>
    <n v="4"/>
    <n v="80"/>
    <n v="2"/>
    <n v="9"/>
    <n v="3"/>
    <n v="3"/>
    <x v="11"/>
    <m/>
    <n v="2"/>
    <n v="2"/>
    <n v="2"/>
  </r>
  <r>
    <n v="28"/>
    <x v="1"/>
    <x v="0"/>
    <n v="1217"/>
    <x v="1"/>
    <n v="1"/>
    <n v="3"/>
    <x v="2"/>
    <n v="1"/>
    <n v="1834"/>
    <n v="3"/>
    <x v="0"/>
    <n v="67"/>
    <n v="3"/>
    <n v="1"/>
    <x v="1"/>
    <n v="1"/>
    <x v="1"/>
    <n v="3591"/>
    <n v="12719"/>
    <n v="1"/>
    <s v="Y"/>
    <x v="1"/>
    <n v="25"/>
    <n v="4"/>
    <n v="3"/>
    <n v="80"/>
    <n v="1"/>
    <n v="3"/>
    <n v="3"/>
    <n v="3"/>
    <x v="11"/>
    <m/>
    <n v="2"/>
    <n v="1"/>
    <n v="2"/>
  </r>
  <r>
    <n v="38"/>
    <x v="1"/>
    <x v="0"/>
    <n v="723"/>
    <x v="0"/>
    <n v="2"/>
    <n v="4"/>
    <x v="3"/>
    <n v="1"/>
    <n v="1835"/>
    <n v="2"/>
    <x v="0"/>
    <n v="77"/>
    <n v="1"/>
    <n v="2"/>
    <x v="6"/>
    <n v="4"/>
    <x v="1"/>
    <n v="5405"/>
    <n v="4244"/>
    <n v="2"/>
    <s v="Y"/>
    <x v="0"/>
    <n v="20"/>
    <n v="4"/>
    <n v="1"/>
    <n v="80"/>
    <n v="2"/>
    <n v="20"/>
    <n v="4"/>
    <n v="2"/>
    <x v="9"/>
    <m/>
    <n v="2"/>
    <n v="0"/>
    <n v="3"/>
  </r>
  <r>
    <n v="26"/>
    <x v="1"/>
    <x v="0"/>
    <n v="572"/>
    <x v="0"/>
    <n v="10"/>
    <n v="3"/>
    <x v="2"/>
    <n v="1"/>
    <n v="1836"/>
    <n v="3"/>
    <x v="1"/>
    <n v="46"/>
    <n v="3"/>
    <n v="2"/>
    <x v="0"/>
    <n v="4"/>
    <x v="0"/>
    <n v="4684"/>
    <n v="9125"/>
    <n v="1"/>
    <s v="Y"/>
    <x v="1"/>
    <n v="13"/>
    <n v="3"/>
    <n v="1"/>
    <n v="80"/>
    <n v="0"/>
    <n v="5"/>
    <n v="4"/>
    <n v="3"/>
    <x v="8"/>
    <m/>
    <n v="3"/>
    <n v="1"/>
    <n v="2"/>
  </r>
  <r>
    <n v="58"/>
    <x v="1"/>
    <x v="1"/>
    <n v="1216"/>
    <x v="1"/>
    <n v="15"/>
    <n v="4"/>
    <x v="0"/>
    <n v="1"/>
    <n v="1837"/>
    <n v="1"/>
    <x v="1"/>
    <n v="87"/>
    <n v="3"/>
    <n v="4"/>
    <x v="7"/>
    <n v="3"/>
    <x v="1"/>
    <n v="15787"/>
    <n v="21624"/>
    <n v="2"/>
    <s v="Y"/>
    <x v="0"/>
    <n v="14"/>
    <n v="3"/>
    <n v="2"/>
    <n v="80"/>
    <n v="0"/>
    <n v="23"/>
    <n v="3"/>
    <n v="3"/>
    <x v="4"/>
    <m/>
    <n v="2"/>
    <n v="2"/>
    <n v="2"/>
  </r>
  <r>
    <n v="18"/>
    <x v="1"/>
    <x v="2"/>
    <n v="1431"/>
    <x v="1"/>
    <n v="14"/>
    <n v="3"/>
    <x v="2"/>
    <n v="1"/>
    <n v="1839"/>
    <n v="2"/>
    <x v="0"/>
    <n v="33"/>
    <n v="3"/>
    <n v="1"/>
    <x v="1"/>
    <n v="3"/>
    <x v="0"/>
    <n v="1514"/>
    <n v="8018"/>
    <n v="1"/>
    <s v="Y"/>
    <x v="1"/>
    <n v="16"/>
    <n v="3"/>
    <n v="3"/>
    <n v="80"/>
    <n v="0"/>
    <n v="0"/>
    <n v="4"/>
    <n v="1"/>
    <x v="2"/>
    <m/>
    <n v="0"/>
    <n v="0"/>
    <n v="0"/>
  </r>
  <r>
    <n v="31"/>
    <x v="0"/>
    <x v="0"/>
    <n v="359"/>
    <x v="2"/>
    <n v="18"/>
    <n v="5"/>
    <x v="5"/>
    <n v="1"/>
    <n v="1842"/>
    <n v="4"/>
    <x v="1"/>
    <n v="89"/>
    <n v="4"/>
    <n v="1"/>
    <x v="8"/>
    <n v="1"/>
    <x v="1"/>
    <n v="2956"/>
    <n v="21495"/>
    <n v="0"/>
    <s v="Y"/>
    <x v="1"/>
    <n v="17"/>
    <n v="3"/>
    <n v="3"/>
    <n v="80"/>
    <n v="0"/>
    <n v="2"/>
    <n v="4"/>
    <n v="3"/>
    <x v="6"/>
    <m/>
    <n v="0"/>
    <n v="0"/>
    <n v="0"/>
  </r>
  <r>
    <n v="29"/>
    <x v="0"/>
    <x v="0"/>
    <n v="350"/>
    <x v="2"/>
    <n v="13"/>
    <n v="3"/>
    <x v="5"/>
    <n v="1"/>
    <n v="1844"/>
    <n v="1"/>
    <x v="1"/>
    <n v="56"/>
    <n v="2"/>
    <n v="1"/>
    <x v="8"/>
    <n v="1"/>
    <x v="2"/>
    <n v="2335"/>
    <n v="3157"/>
    <n v="4"/>
    <s v="Y"/>
    <x v="0"/>
    <n v="15"/>
    <n v="3"/>
    <n v="4"/>
    <n v="80"/>
    <n v="3"/>
    <n v="4"/>
    <n v="3"/>
    <n v="3"/>
    <x v="4"/>
    <m/>
    <n v="2"/>
    <n v="2"/>
    <n v="0"/>
  </r>
  <r>
    <n v="45"/>
    <x v="1"/>
    <x v="2"/>
    <n v="589"/>
    <x v="0"/>
    <n v="2"/>
    <n v="4"/>
    <x v="0"/>
    <n v="1"/>
    <n v="1845"/>
    <n v="3"/>
    <x v="0"/>
    <n v="67"/>
    <n v="3"/>
    <n v="2"/>
    <x v="0"/>
    <n v="3"/>
    <x v="1"/>
    <n v="5154"/>
    <n v="19665"/>
    <n v="4"/>
    <s v="Y"/>
    <x v="1"/>
    <n v="22"/>
    <n v="4"/>
    <n v="2"/>
    <n v="80"/>
    <n v="2"/>
    <n v="10"/>
    <n v="3"/>
    <n v="4"/>
    <x v="3"/>
    <m/>
    <n v="7"/>
    <n v="5"/>
    <n v="7"/>
  </r>
  <r>
    <n v="36"/>
    <x v="1"/>
    <x v="0"/>
    <n v="430"/>
    <x v="1"/>
    <n v="2"/>
    <n v="4"/>
    <x v="1"/>
    <n v="1"/>
    <n v="1847"/>
    <n v="4"/>
    <x v="0"/>
    <n v="73"/>
    <n v="3"/>
    <n v="2"/>
    <x v="1"/>
    <n v="2"/>
    <x v="1"/>
    <n v="6962"/>
    <n v="19573"/>
    <n v="4"/>
    <s v="Y"/>
    <x v="0"/>
    <n v="22"/>
    <n v="4"/>
    <n v="4"/>
    <n v="80"/>
    <n v="1"/>
    <n v="15"/>
    <n v="2"/>
    <n v="3"/>
    <x v="6"/>
    <m/>
    <n v="0"/>
    <n v="0"/>
    <n v="0"/>
  </r>
  <r>
    <n v="43"/>
    <x v="1"/>
    <x v="1"/>
    <n v="1422"/>
    <x v="0"/>
    <n v="2"/>
    <n v="4"/>
    <x v="0"/>
    <n v="1"/>
    <n v="1849"/>
    <n v="1"/>
    <x v="1"/>
    <n v="92"/>
    <n v="3"/>
    <n v="2"/>
    <x v="0"/>
    <n v="4"/>
    <x v="1"/>
    <n v="5675"/>
    <n v="19246"/>
    <n v="1"/>
    <s v="Y"/>
    <x v="1"/>
    <n v="20"/>
    <n v="4"/>
    <n v="3"/>
    <n v="80"/>
    <n v="1"/>
    <n v="7"/>
    <n v="5"/>
    <n v="3"/>
    <x v="5"/>
    <m/>
    <n v="7"/>
    <n v="7"/>
    <n v="7"/>
  </r>
  <r>
    <n v="27"/>
    <x v="1"/>
    <x v="1"/>
    <n v="1297"/>
    <x v="1"/>
    <n v="5"/>
    <n v="2"/>
    <x v="0"/>
    <n v="1"/>
    <n v="1850"/>
    <n v="4"/>
    <x v="0"/>
    <n v="53"/>
    <n v="3"/>
    <n v="1"/>
    <x v="2"/>
    <n v="4"/>
    <x v="0"/>
    <n v="2379"/>
    <n v="19826"/>
    <n v="0"/>
    <s v="Y"/>
    <x v="0"/>
    <n v="14"/>
    <n v="3"/>
    <n v="3"/>
    <n v="80"/>
    <n v="0"/>
    <n v="6"/>
    <n v="3"/>
    <n v="2"/>
    <x v="8"/>
    <m/>
    <n v="4"/>
    <n v="0"/>
    <n v="2"/>
  </r>
  <r>
    <n v="29"/>
    <x v="1"/>
    <x v="1"/>
    <n v="574"/>
    <x v="1"/>
    <n v="20"/>
    <n v="1"/>
    <x v="2"/>
    <n v="1"/>
    <n v="1852"/>
    <n v="4"/>
    <x v="1"/>
    <n v="40"/>
    <n v="3"/>
    <n v="1"/>
    <x v="2"/>
    <n v="4"/>
    <x v="1"/>
    <n v="3812"/>
    <n v="7003"/>
    <n v="1"/>
    <s v="Y"/>
    <x v="1"/>
    <n v="13"/>
    <n v="3"/>
    <n v="2"/>
    <n v="80"/>
    <n v="0"/>
    <n v="11"/>
    <n v="3"/>
    <n v="4"/>
    <x v="19"/>
    <m/>
    <n v="8"/>
    <n v="3"/>
    <n v="10"/>
  </r>
  <r>
    <n v="32"/>
    <x v="1"/>
    <x v="1"/>
    <n v="1318"/>
    <x v="0"/>
    <n v="10"/>
    <n v="4"/>
    <x v="3"/>
    <n v="1"/>
    <n v="1853"/>
    <n v="4"/>
    <x v="1"/>
    <n v="79"/>
    <n v="3"/>
    <n v="2"/>
    <x v="0"/>
    <n v="4"/>
    <x v="0"/>
    <n v="4648"/>
    <n v="26075"/>
    <n v="8"/>
    <s v="Y"/>
    <x v="1"/>
    <n v="13"/>
    <n v="3"/>
    <n v="3"/>
    <n v="80"/>
    <n v="0"/>
    <n v="4"/>
    <n v="2"/>
    <n v="4"/>
    <x v="2"/>
    <m/>
    <n v="0"/>
    <n v="0"/>
    <n v="0"/>
  </r>
  <r>
    <n v="42"/>
    <x v="1"/>
    <x v="2"/>
    <n v="355"/>
    <x v="1"/>
    <n v="10"/>
    <n v="4"/>
    <x v="4"/>
    <n v="1"/>
    <n v="1854"/>
    <n v="3"/>
    <x v="1"/>
    <n v="38"/>
    <n v="3"/>
    <n v="1"/>
    <x v="1"/>
    <n v="3"/>
    <x v="1"/>
    <n v="2936"/>
    <n v="6161"/>
    <n v="3"/>
    <s v="Y"/>
    <x v="1"/>
    <n v="22"/>
    <n v="4"/>
    <n v="2"/>
    <n v="80"/>
    <n v="2"/>
    <n v="10"/>
    <n v="1"/>
    <n v="2"/>
    <x v="0"/>
    <m/>
    <n v="3"/>
    <n v="3"/>
    <n v="3"/>
  </r>
  <r>
    <n v="47"/>
    <x v="1"/>
    <x v="0"/>
    <n v="207"/>
    <x v="1"/>
    <n v="9"/>
    <n v="4"/>
    <x v="0"/>
    <n v="1"/>
    <n v="1856"/>
    <n v="2"/>
    <x v="0"/>
    <n v="64"/>
    <n v="3"/>
    <n v="1"/>
    <x v="2"/>
    <n v="3"/>
    <x v="0"/>
    <n v="2105"/>
    <n v="5411"/>
    <n v="4"/>
    <s v="Y"/>
    <x v="1"/>
    <n v="12"/>
    <n v="3"/>
    <n v="3"/>
    <n v="80"/>
    <n v="0"/>
    <n v="7"/>
    <n v="2"/>
    <n v="3"/>
    <x v="4"/>
    <m/>
    <n v="2"/>
    <n v="2"/>
    <n v="0"/>
  </r>
  <r>
    <n v="46"/>
    <x v="1"/>
    <x v="0"/>
    <n v="706"/>
    <x v="1"/>
    <n v="2"/>
    <n v="2"/>
    <x v="0"/>
    <n v="1"/>
    <n v="1857"/>
    <n v="4"/>
    <x v="1"/>
    <n v="82"/>
    <n v="3"/>
    <n v="3"/>
    <x v="3"/>
    <n v="4"/>
    <x v="2"/>
    <n v="8578"/>
    <n v="19989"/>
    <n v="3"/>
    <s v="Y"/>
    <x v="1"/>
    <n v="14"/>
    <n v="3"/>
    <n v="3"/>
    <n v="80"/>
    <n v="1"/>
    <n v="12"/>
    <n v="4"/>
    <n v="2"/>
    <x v="7"/>
    <m/>
    <n v="8"/>
    <n v="4"/>
    <n v="7"/>
  </r>
  <r>
    <n v="28"/>
    <x v="1"/>
    <x v="2"/>
    <n v="280"/>
    <x v="2"/>
    <n v="1"/>
    <n v="2"/>
    <x v="0"/>
    <n v="1"/>
    <n v="1858"/>
    <n v="3"/>
    <x v="1"/>
    <n v="43"/>
    <n v="3"/>
    <n v="1"/>
    <x v="8"/>
    <n v="4"/>
    <x v="2"/>
    <n v="2706"/>
    <n v="10494"/>
    <n v="1"/>
    <s v="Y"/>
    <x v="1"/>
    <n v="15"/>
    <n v="3"/>
    <n v="2"/>
    <n v="80"/>
    <n v="1"/>
    <n v="3"/>
    <n v="2"/>
    <n v="3"/>
    <x v="11"/>
    <m/>
    <n v="2"/>
    <n v="2"/>
    <n v="2"/>
  </r>
  <r>
    <n v="29"/>
    <x v="1"/>
    <x v="0"/>
    <n v="726"/>
    <x v="1"/>
    <n v="29"/>
    <n v="1"/>
    <x v="0"/>
    <n v="1"/>
    <n v="1859"/>
    <n v="4"/>
    <x v="1"/>
    <n v="93"/>
    <n v="1"/>
    <n v="2"/>
    <x v="4"/>
    <n v="3"/>
    <x v="2"/>
    <n v="6384"/>
    <n v="21143"/>
    <n v="8"/>
    <s v="Y"/>
    <x v="1"/>
    <n v="17"/>
    <n v="3"/>
    <n v="4"/>
    <n v="80"/>
    <n v="2"/>
    <n v="11"/>
    <n v="3"/>
    <n v="3"/>
    <x v="5"/>
    <m/>
    <n v="0"/>
    <n v="1"/>
    <n v="6"/>
  </r>
  <r>
    <n v="42"/>
    <x v="1"/>
    <x v="0"/>
    <n v="1142"/>
    <x v="1"/>
    <n v="8"/>
    <n v="3"/>
    <x v="0"/>
    <n v="1"/>
    <n v="1860"/>
    <n v="4"/>
    <x v="1"/>
    <n v="81"/>
    <n v="3"/>
    <n v="1"/>
    <x v="2"/>
    <n v="3"/>
    <x v="0"/>
    <n v="3968"/>
    <n v="13624"/>
    <n v="4"/>
    <s v="Y"/>
    <x v="1"/>
    <n v="13"/>
    <n v="3"/>
    <n v="4"/>
    <n v="80"/>
    <n v="0"/>
    <n v="8"/>
    <n v="3"/>
    <n v="3"/>
    <x v="2"/>
    <m/>
    <n v="0"/>
    <n v="0"/>
    <n v="0"/>
  </r>
  <r>
    <n v="32"/>
    <x v="0"/>
    <x v="0"/>
    <n v="414"/>
    <x v="0"/>
    <n v="2"/>
    <n v="4"/>
    <x v="3"/>
    <n v="1"/>
    <n v="1862"/>
    <n v="3"/>
    <x v="1"/>
    <n v="82"/>
    <n v="2"/>
    <n v="2"/>
    <x v="0"/>
    <n v="2"/>
    <x v="0"/>
    <n v="9907"/>
    <n v="26186"/>
    <n v="7"/>
    <s v="Y"/>
    <x v="0"/>
    <n v="12"/>
    <n v="3"/>
    <n v="3"/>
    <n v="80"/>
    <n v="0"/>
    <n v="7"/>
    <n v="3"/>
    <n v="2"/>
    <x v="4"/>
    <m/>
    <n v="2"/>
    <n v="2"/>
    <n v="2"/>
  </r>
  <r>
    <n v="46"/>
    <x v="1"/>
    <x v="0"/>
    <n v="1319"/>
    <x v="0"/>
    <n v="3"/>
    <n v="3"/>
    <x v="4"/>
    <n v="1"/>
    <n v="1863"/>
    <n v="1"/>
    <x v="0"/>
    <n v="45"/>
    <n v="4"/>
    <n v="4"/>
    <x v="0"/>
    <n v="1"/>
    <x v="2"/>
    <n v="13225"/>
    <n v="7739"/>
    <n v="2"/>
    <s v="Y"/>
    <x v="1"/>
    <n v="12"/>
    <n v="3"/>
    <n v="4"/>
    <n v="80"/>
    <n v="1"/>
    <n v="25"/>
    <n v="5"/>
    <n v="3"/>
    <x v="27"/>
    <m/>
    <n v="17"/>
    <n v="2"/>
    <n v="8"/>
  </r>
  <r>
    <n v="27"/>
    <x v="1"/>
    <x v="0"/>
    <n v="728"/>
    <x v="0"/>
    <n v="23"/>
    <n v="1"/>
    <x v="2"/>
    <n v="1"/>
    <n v="1864"/>
    <n v="2"/>
    <x v="0"/>
    <n v="36"/>
    <n v="2"/>
    <n v="2"/>
    <x v="6"/>
    <n v="3"/>
    <x v="1"/>
    <n v="3540"/>
    <n v="7018"/>
    <n v="1"/>
    <s v="Y"/>
    <x v="1"/>
    <n v="21"/>
    <n v="4"/>
    <n v="4"/>
    <n v="80"/>
    <n v="1"/>
    <n v="9"/>
    <n v="5"/>
    <n v="3"/>
    <x v="7"/>
    <m/>
    <n v="8"/>
    <n v="5"/>
    <n v="8"/>
  </r>
  <r>
    <n v="29"/>
    <x v="1"/>
    <x v="0"/>
    <n v="352"/>
    <x v="2"/>
    <n v="6"/>
    <n v="1"/>
    <x v="2"/>
    <n v="1"/>
    <n v="1865"/>
    <n v="4"/>
    <x v="1"/>
    <n v="87"/>
    <n v="2"/>
    <n v="1"/>
    <x v="8"/>
    <n v="2"/>
    <x v="1"/>
    <n v="2804"/>
    <n v="15434"/>
    <n v="1"/>
    <s v="Y"/>
    <x v="1"/>
    <n v="11"/>
    <n v="3"/>
    <n v="4"/>
    <n v="80"/>
    <n v="0"/>
    <n v="1"/>
    <n v="3"/>
    <n v="3"/>
    <x v="6"/>
    <m/>
    <n v="0"/>
    <n v="0"/>
    <n v="0"/>
  </r>
  <r>
    <n v="43"/>
    <x v="1"/>
    <x v="0"/>
    <n v="823"/>
    <x v="1"/>
    <n v="6"/>
    <n v="3"/>
    <x v="2"/>
    <n v="1"/>
    <n v="1866"/>
    <n v="1"/>
    <x v="0"/>
    <n v="81"/>
    <n v="2"/>
    <n v="5"/>
    <x v="5"/>
    <n v="3"/>
    <x v="1"/>
    <n v="19392"/>
    <n v="22539"/>
    <n v="7"/>
    <s v="Y"/>
    <x v="1"/>
    <n v="13"/>
    <n v="3"/>
    <n v="4"/>
    <n v="80"/>
    <n v="0"/>
    <n v="21"/>
    <n v="2"/>
    <n v="3"/>
    <x v="22"/>
    <m/>
    <n v="12"/>
    <n v="6"/>
    <n v="14"/>
  </r>
  <r>
    <n v="48"/>
    <x v="1"/>
    <x v="0"/>
    <n v="1224"/>
    <x v="1"/>
    <n v="10"/>
    <n v="3"/>
    <x v="0"/>
    <n v="1"/>
    <n v="1867"/>
    <n v="4"/>
    <x v="1"/>
    <n v="91"/>
    <n v="2"/>
    <n v="5"/>
    <x v="7"/>
    <n v="2"/>
    <x v="1"/>
    <n v="19665"/>
    <n v="13583"/>
    <n v="4"/>
    <s v="Y"/>
    <x v="1"/>
    <n v="12"/>
    <n v="3"/>
    <n v="4"/>
    <n v="80"/>
    <n v="0"/>
    <n v="29"/>
    <n v="3"/>
    <n v="3"/>
    <x v="14"/>
    <m/>
    <n v="10"/>
    <n v="12"/>
    <n v="9"/>
  </r>
  <r>
    <n v="29"/>
    <x v="0"/>
    <x v="1"/>
    <n v="459"/>
    <x v="1"/>
    <n v="24"/>
    <n v="2"/>
    <x v="0"/>
    <n v="1"/>
    <n v="1868"/>
    <n v="4"/>
    <x v="1"/>
    <n v="73"/>
    <n v="2"/>
    <n v="1"/>
    <x v="1"/>
    <n v="4"/>
    <x v="0"/>
    <n v="2439"/>
    <n v="14753"/>
    <n v="1"/>
    <s v="Y"/>
    <x v="0"/>
    <n v="24"/>
    <n v="4"/>
    <n v="2"/>
    <n v="80"/>
    <n v="0"/>
    <n v="1"/>
    <n v="3"/>
    <n v="2"/>
    <x v="6"/>
    <m/>
    <n v="0"/>
    <n v="1"/>
    <n v="0"/>
  </r>
  <r>
    <n v="46"/>
    <x v="0"/>
    <x v="0"/>
    <n v="1254"/>
    <x v="0"/>
    <n v="10"/>
    <n v="3"/>
    <x v="0"/>
    <n v="1"/>
    <n v="1869"/>
    <n v="3"/>
    <x v="0"/>
    <n v="64"/>
    <n v="3"/>
    <n v="3"/>
    <x v="0"/>
    <n v="2"/>
    <x v="1"/>
    <n v="7314"/>
    <n v="14011"/>
    <n v="5"/>
    <s v="Y"/>
    <x v="1"/>
    <n v="21"/>
    <n v="4"/>
    <n v="3"/>
    <n v="80"/>
    <n v="3"/>
    <n v="14"/>
    <n v="2"/>
    <n v="3"/>
    <x v="3"/>
    <m/>
    <n v="7"/>
    <n v="0"/>
    <n v="7"/>
  </r>
  <r>
    <n v="27"/>
    <x v="1"/>
    <x v="1"/>
    <n v="1131"/>
    <x v="1"/>
    <n v="15"/>
    <n v="3"/>
    <x v="0"/>
    <n v="1"/>
    <n v="1870"/>
    <n v="4"/>
    <x v="0"/>
    <n v="77"/>
    <n v="2"/>
    <n v="1"/>
    <x v="1"/>
    <n v="1"/>
    <x v="1"/>
    <n v="4774"/>
    <n v="23844"/>
    <n v="0"/>
    <s v="Y"/>
    <x v="1"/>
    <n v="19"/>
    <n v="3"/>
    <n v="4"/>
    <n v="80"/>
    <n v="1"/>
    <n v="8"/>
    <n v="2"/>
    <n v="2"/>
    <x v="5"/>
    <m/>
    <n v="6"/>
    <n v="7"/>
    <n v="3"/>
  </r>
  <r>
    <n v="39"/>
    <x v="1"/>
    <x v="0"/>
    <n v="835"/>
    <x v="1"/>
    <n v="19"/>
    <n v="4"/>
    <x v="1"/>
    <n v="1"/>
    <n v="1871"/>
    <n v="4"/>
    <x v="1"/>
    <n v="41"/>
    <n v="3"/>
    <n v="2"/>
    <x v="1"/>
    <n v="4"/>
    <x v="2"/>
    <n v="3902"/>
    <n v="5141"/>
    <n v="8"/>
    <s v="Y"/>
    <x v="1"/>
    <n v="14"/>
    <n v="3"/>
    <n v="2"/>
    <n v="80"/>
    <n v="3"/>
    <n v="7"/>
    <n v="2"/>
    <n v="3"/>
    <x v="4"/>
    <m/>
    <n v="2"/>
    <n v="2"/>
    <n v="2"/>
  </r>
  <r>
    <n v="55"/>
    <x v="1"/>
    <x v="0"/>
    <n v="836"/>
    <x v="1"/>
    <n v="2"/>
    <n v="4"/>
    <x v="4"/>
    <n v="1"/>
    <n v="1873"/>
    <n v="2"/>
    <x v="1"/>
    <n v="98"/>
    <n v="2"/>
    <n v="1"/>
    <x v="1"/>
    <n v="4"/>
    <x v="1"/>
    <n v="2662"/>
    <n v="7975"/>
    <n v="8"/>
    <s v="Y"/>
    <x v="1"/>
    <n v="20"/>
    <n v="4"/>
    <n v="2"/>
    <n v="80"/>
    <n v="1"/>
    <n v="19"/>
    <n v="2"/>
    <n v="4"/>
    <x v="8"/>
    <m/>
    <n v="2"/>
    <n v="0"/>
    <n v="4"/>
  </r>
  <r>
    <n v="28"/>
    <x v="1"/>
    <x v="0"/>
    <n v="1172"/>
    <x v="0"/>
    <n v="3"/>
    <n v="3"/>
    <x v="2"/>
    <n v="1"/>
    <n v="1875"/>
    <n v="2"/>
    <x v="0"/>
    <n v="78"/>
    <n v="3"/>
    <n v="1"/>
    <x v="6"/>
    <n v="2"/>
    <x v="1"/>
    <n v="2856"/>
    <n v="3692"/>
    <n v="1"/>
    <s v="Y"/>
    <x v="1"/>
    <n v="19"/>
    <n v="3"/>
    <n v="4"/>
    <n v="80"/>
    <n v="1"/>
    <n v="1"/>
    <n v="3"/>
    <n v="3"/>
    <x v="6"/>
    <m/>
    <n v="0"/>
    <n v="0"/>
    <n v="0"/>
  </r>
  <r>
    <n v="30"/>
    <x v="0"/>
    <x v="0"/>
    <n v="945"/>
    <x v="0"/>
    <n v="9"/>
    <n v="3"/>
    <x v="2"/>
    <n v="1"/>
    <n v="1876"/>
    <n v="2"/>
    <x v="1"/>
    <n v="89"/>
    <n v="3"/>
    <n v="1"/>
    <x v="6"/>
    <n v="4"/>
    <x v="0"/>
    <n v="1081"/>
    <n v="16019"/>
    <n v="1"/>
    <s v="Y"/>
    <x v="1"/>
    <n v="13"/>
    <n v="3"/>
    <n v="3"/>
    <n v="80"/>
    <n v="0"/>
    <n v="1"/>
    <n v="3"/>
    <n v="2"/>
    <x v="6"/>
    <m/>
    <n v="0"/>
    <n v="0"/>
    <n v="0"/>
  </r>
  <r>
    <n v="22"/>
    <x v="0"/>
    <x v="0"/>
    <n v="391"/>
    <x v="1"/>
    <n v="7"/>
    <n v="1"/>
    <x v="0"/>
    <n v="1"/>
    <n v="1878"/>
    <n v="4"/>
    <x v="1"/>
    <n v="75"/>
    <n v="3"/>
    <n v="1"/>
    <x v="1"/>
    <n v="2"/>
    <x v="0"/>
    <n v="2472"/>
    <n v="26092"/>
    <n v="1"/>
    <s v="Y"/>
    <x v="0"/>
    <n v="23"/>
    <n v="4"/>
    <n v="1"/>
    <n v="80"/>
    <n v="0"/>
    <n v="1"/>
    <n v="2"/>
    <n v="3"/>
    <x v="6"/>
    <m/>
    <n v="0"/>
    <n v="0"/>
    <n v="0"/>
  </r>
  <r>
    <n v="36"/>
    <x v="1"/>
    <x v="0"/>
    <n v="1266"/>
    <x v="0"/>
    <n v="10"/>
    <n v="4"/>
    <x v="4"/>
    <n v="1"/>
    <n v="1880"/>
    <n v="2"/>
    <x v="0"/>
    <n v="63"/>
    <n v="2"/>
    <n v="2"/>
    <x v="0"/>
    <n v="3"/>
    <x v="1"/>
    <n v="5673"/>
    <n v="6060"/>
    <n v="1"/>
    <s v="Y"/>
    <x v="0"/>
    <n v="13"/>
    <n v="3"/>
    <n v="1"/>
    <n v="80"/>
    <n v="1"/>
    <n v="10"/>
    <n v="4"/>
    <n v="3"/>
    <x v="1"/>
    <m/>
    <n v="9"/>
    <n v="1"/>
    <n v="7"/>
  </r>
  <r>
    <n v="31"/>
    <x v="1"/>
    <x v="0"/>
    <n v="311"/>
    <x v="1"/>
    <n v="20"/>
    <n v="3"/>
    <x v="0"/>
    <n v="1"/>
    <n v="1881"/>
    <n v="2"/>
    <x v="1"/>
    <n v="89"/>
    <n v="3"/>
    <n v="2"/>
    <x v="2"/>
    <n v="3"/>
    <x v="2"/>
    <n v="4197"/>
    <n v="18624"/>
    <n v="1"/>
    <s v="Y"/>
    <x v="1"/>
    <n v="11"/>
    <n v="3"/>
    <n v="1"/>
    <n v="80"/>
    <n v="1"/>
    <n v="10"/>
    <n v="2"/>
    <n v="3"/>
    <x v="1"/>
    <m/>
    <n v="8"/>
    <n v="0"/>
    <n v="2"/>
  </r>
  <r>
    <n v="34"/>
    <x v="1"/>
    <x v="0"/>
    <n v="1480"/>
    <x v="0"/>
    <n v="4"/>
    <n v="3"/>
    <x v="0"/>
    <n v="1"/>
    <n v="1882"/>
    <n v="3"/>
    <x v="1"/>
    <n v="64"/>
    <n v="3"/>
    <n v="3"/>
    <x v="0"/>
    <n v="4"/>
    <x v="1"/>
    <n v="9713"/>
    <n v="24444"/>
    <n v="2"/>
    <s v="Y"/>
    <x v="0"/>
    <n v="13"/>
    <n v="3"/>
    <n v="4"/>
    <n v="80"/>
    <n v="3"/>
    <n v="9"/>
    <n v="3"/>
    <n v="3"/>
    <x v="8"/>
    <m/>
    <n v="3"/>
    <n v="1"/>
    <n v="0"/>
  </r>
  <r>
    <n v="29"/>
    <x v="1"/>
    <x v="0"/>
    <n v="592"/>
    <x v="1"/>
    <n v="7"/>
    <n v="3"/>
    <x v="0"/>
    <n v="1"/>
    <n v="1883"/>
    <n v="4"/>
    <x v="1"/>
    <n v="59"/>
    <n v="3"/>
    <n v="1"/>
    <x v="2"/>
    <n v="1"/>
    <x v="0"/>
    <n v="2062"/>
    <n v="19384"/>
    <n v="3"/>
    <s v="Y"/>
    <x v="1"/>
    <n v="14"/>
    <n v="3"/>
    <n v="2"/>
    <n v="80"/>
    <n v="0"/>
    <n v="11"/>
    <n v="2"/>
    <n v="3"/>
    <x v="11"/>
    <m/>
    <n v="2"/>
    <n v="1"/>
    <n v="2"/>
  </r>
  <r>
    <n v="37"/>
    <x v="1"/>
    <x v="0"/>
    <n v="783"/>
    <x v="1"/>
    <n v="7"/>
    <n v="4"/>
    <x v="2"/>
    <n v="1"/>
    <n v="1885"/>
    <n v="4"/>
    <x v="1"/>
    <n v="78"/>
    <n v="3"/>
    <n v="2"/>
    <x v="1"/>
    <n v="1"/>
    <x v="1"/>
    <n v="4284"/>
    <n v="13588"/>
    <n v="5"/>
    <s v="Y"/>
    <x v="0"/>
    <n v="22"/>
    <n v="4"/>
    <n v="3"/>
    <n v="80"/>
    <n v="1"/>
    <n v="16"/>
    <n v="2"/>
    <n v="3"/>
    <x v="8"/>
    <m/>
    <n v="3"/>
    <n v="0"/>
    <n v="4"/>
  </r>
  <r>
    <n v="35"/>
    <x v="1"/>
    <x v="0"/>
    <n v="219"/>
    <x v="1"/>
    <n v="16"/>
    <n v="2"/>
    <x v="1"/>
    <n v="1"/>
    <n v="1886"/>
    <n v="4"/>
    <x v="0"/>
    <n v="44"/>
    <n v="2"/>
    <n v="2"/>
    <x v="3"/>
    <n v="2"/>
    <x v="1"/>
    <n v="4788"/>
    <n v="25388"/>
    <n v="0"/>
    <s v="Y"/>
    <x v="0"/>
    <n v="11"/>
    <n v="3"/>
    <n v="4"/>
    <n v="80"/>
    <n v="0"/>
    <n v="4"/>
    <n v="2"/>
    <n v="3"/>
    <x v="11"/>
    <m/>
    <n v="2"/>
    <n v="0"/>
    <n v="2"/>
  </r>
  <r>
    <n v="45"/>
    <x v="1"/>
    <x v="0"/>
    <n v="556"/>
    <x v="1"/>
    <n v="25"/>
    <n v="2"/>
    <x v="0"/>
    <n v="1"/>
    <n v="1888"/>
    <n v="2"/>
    <x v="0"/>
    <n v="93"/>
    <n v="2"/>
    <n v="2"/>
    <x v="3"/>
    <n v="4"/>
    <x v="1"/>
    <n v="5906"/>
    <n v="23888"/>
    <n v="0"/>
    <s v="Y"/>
    <x v="1"/>
    <n v="13"/>
    <n v="3"/>
    <n v="4"/>
    <n v="80"/>
    <n v="2"/>
    <n v="10"/>
    <n v="2"/>
    <n v="2"/>
    <x v="7"/>
    <m/>
    <n v="8"/>
    <n v="3"/>
    <n v="8"/>
  </r>
  <r>
    <n v="36"/>
    <x v="1"/>
    <x v="1"/>
    <n v="1213"/>
    <x v="2"/>
    <n v="2"/>
    <n v="1"/>
    <x v="5"/>
    <n v="1"/>
    <n v="1890"/>
    <n v="2"/>
    <x v="1"/>
    <n v="94"/>
    <n v="2"/>
    <n v="2"/>
    <x v="8"/>
    <n v="4"/>
    <x v="0"/>
    <n v="3886"/>
    <n v="4223"/>
    <n v="1"/>
    <s v="Y"/>
    <x v="1"/>
    <n v="21"/>
    <n v="4"/>
    <n v="4"/>
    <n v="80"/>
    <n v="0"/>
    <n v="10"/>
    <n v="2"/>
    <n v="2"/>
    <x v="1"/>
    <m/>
    <n v="1"/>
    <n v="0"/>
    <n v="8"/>
  </r>
  <r>
    <n v="40"/>
    <x v="1"/>
    <x v="0"/>
    <n v="1137"/>
    <x v="1"/>
    <n v="1"/>
    <n v="4"/>
    <x v="0"/>
    <n v="1"/>
    <n v="1892"/>
    <n v="1"/>
    <x v="1"/>
    <n v="98"/>
    <n v="3"/>
    <n v="4"/>
    <x v="5"/>
    <n v="1"/>
    <x v="2"/>
    <n v="16823"/>
    <n v="18991"/>
    <n v="2"/>
    <s v="Y"/>
    <x v="1"/>
    <n v="11"/>
    <n v="3"/>
    <n v="1"/>
    <n v="80"/>
    <n v="1"/>
    <n v="22"/>
    <n v="3"/>
    <n v="3"/>
    <x v="27"/>
    <m/>
    <n v="7"/>
    <n v="11"/>
    <n v="16"/>
  </r>
  <r>
    <n v="26"/>
    <x v="1"/>
    <x v="0"/>
    <n v="482"/>
    <x v="1"/>
    <n v="1"/>
    <n v="2"/>
    <x v="0"/>
    <n v="1"/>
    <n v="1893"/>
    <n v="2"/>
    <x v="0"/>
    <n v="90"/>
    <n v="2"/>
    <n v="1"/>
    <x v="1"/>
    <n v="3"/>
    <x v="1"/>
    <n v="2933"/>
    <n v="14908"/>
    <n v="1"/>
    <s v="Y"/>
    <x v="0"/>
    <n v="13"/>
    <n v="3"/>
    <n v="3"/>
    <n v="80"/>
    <n v="1"/>
    <n v="1"/>
    <n v="3"/>
    <n v="2"/>
    <x v="6"/>
    <m/>
    <n v="0"/>
    <n v="1"/>
    <n v="0"/>
  </r>
  <r>
    <n v="27"/>
    <x v="1"/>
    <x v="0"/>
    <n v="511"/>
    <x v="0"/>
    <n v="2"/>
    <n v="2"/>
    <x v="2"/>
    <n v="1"/>
    <n v="1898"/>
    <n v="1"/>
    <x v="0"/>
    <n v="89"/>
    <n v="4"/>
    <n v="2"/>
    <x v="0"/>
    <n v="3"/>
    <x v="0"/>
    <n v="6500"/>
    <n v="26997"/>
    <n v="0"/>
    <s v="Y"/>
    <x v="1"/>
    <n v="14"/>
    <n v="3"/>
    <n v="2"/>
    <n v="80"/>
    <n v="0"/>
    <n v="9"/>
    <n v="5"/>
    <n v="2"/>
    <x v="3"/>
    <m/>
    <n v="7"/>
    <n v="0"/>
    <n v="7"/>
  </r>
  <r>
    <n v="48"/>
    <x v="1"/>
    <x v="1"/>
    <n v="117"/>
    <x v="1"/>
    <n v="22"/>
    <n v="3"/>
    <x v="2"/>
    <n v="1"/>
    <n v="1900"/>
    <n v="4"/>
    <x v="0"/>
    <n v="58"/>
    <n v="3"/>
    <n v="4"/>
    <x v="5"/>
    <n v="4"/>
    <x v="2"/>
    <n v="17174"/>
    <n v="2437"/>
    <n v="3"/>
    <s v="Y"/>
    <x v="1"/>
    <n v="11"/>
    <n v="3"/>
    <n v="2"/>
    <n v="80"/>
    <n v="1"/>
    <n v="24"/>
    <n v="3"/>
    <n v="3"/>
    <x v="14"/>
    <m/>
    <n v="17"/>
    <n v="4"/>
    <n v="7"/>
  </r>
  <r>
    <n v="44"/>
    <x v="1"/>
    <x v="0"/>
    <n v="170"/>
    <x v="1"/>
    <n v="1"/>
    <n v="4"/>
    <x v="0"/>
    <n v="1"/>
    <n v="1903"/>
    <n v="2"/>
    <x v="1"/>
    <n v="78"/>
    <n v="4"/>
    <n v="2"/>
    <x v="4"/>
    <n v="1"/>
    <x v="1"/>
    <n v="5033"/>
    <n v="9364"/>
    <n v="2"/>
    <s v="Y"/>
    <x v="1"/>
    <n v="15"/>
    <n v="3"/>
    <n v="4"/>
    <n v="80"/>
    <n v="1"/>
    <n v="10"/>
    <n v="5"/>
    <n v="3"/>
    <x v="4"/>
    <m/>
    <n v="0"/>
    <n v="2"/>
    <n v="2"/>
  </r>
  <r>
    <n v="34"/>
    <x v="0"/>
    <x v="2"/>
    <n v="967"/>
    <x v="1"/>
    <n v="16"/>
    <n v="4"/>
    <x v="4"/>
    <n v="1"/>
    <n v="1905"/>
    <n v="4"/>
    <x v="1"/>
    <n v="85"/>
    <n v="1"/>
    <n v="1"/>
    <x v="1"/>
    <n v="1"/>
    <x v="1"/>
    <n v="2307"/>
    <n v="14460"/>
    <n v="1"/>
    <s v="Y"/>
    <x v="0"/>
    <n v="23"/>
    <n v="4"/>
    <n v="2"/>
    <n v="80"/>
    <n v="1"/>
    <n v="5"/>
    <n v="2"/>
    <n v="3"/>
    <x v="8"/>
    <m/>
    <n v="2"/>
    <n v="3"/>
    <n v="0"/>
  </r>
  <r>
    <n v="56"/>
    <x v="0"/>
    <x v="0"/>
    <n v="1162"/>
    <x v="1"/>
    <n v="24"/>
    <n v="2"/>
    <x v="0"/>
    <n v="1"/>
    <n v="1907"/>
    <n v="1"/>
    <x v="1"/>
    <n v="97"/>
    <n v="3"/>
    <n v="1"/>
    <x v="2"/>
    <n v="4"/>
    <x v="0"/>
    <n v="2587"/>
    <n v="10261"/>
    <n v="1"/>
    <s v="Y"/>
    <x v="1"/>
    <n v="16"/>
    <n v="3"/>
    <n v="4"/>
    <n v="80"/>
    <n v="0"/>
    <n v="5"/>
    <n v="3"/>
    <n v="3"/>
    <x v="9"/>
    <m/>
    <n v="2"/>
    <n v="1"/>
    <n v="0"/>
  </r>
  <r>
    <n v="36"/>
    <x v="1"/>
    <x v="0"/>
    <n v="335"/>
    <x v="0"/>
    <n v="17"/>
    <n v="2"/>
    <x v="3"/>
    <n v="1"/>
    <n v="1908"/>
    <n v="3"/>
    <x v="1"/>
    <n v="33"/>
    <n v="2"/>
    <n v="2"/>
    <x v="0"/>
    <n v="2"/>
    <x v="1"/>
    <n v="5507"/>
    <n v="16822"/>
    <n v="2"/>
    <s v="Y"/>
    <x v="1"/>
    <n v="16"/>
    <n v="3"/>
    <n v="3"/>
    <n v="80"/>
    <n v="2"/>
    <n v="12"/>
    <n v="1"/>
    <n v="1"/>
    <x v="9"/>
    <m/>
    <n v="2"/>
    <n v="1"/>
    <n v="3"/>
  </r>
  <r>
    <n v="41"/>
    <x v="1"/>
    <x v="0"/>
    <n v="337"/>
    <x v="0"/>
    <n v="8"/>
    <n v="3"/>
    <x v="3"/>
    <n v="1"/>
    <n v="1909"/>
    <n v="3"/>
    <x v="0"/>
    <n v="54"/>
    <n v="3"/>
    <n v="2"/>
    <x v="0"/>
    <n v="2"/>
    <x v="1"/>
    <n v="4393"/>
    <n v="26841"/>
    <n v="5"/>
    <s v="Y"/>
    <x v="1"/>
    <n v="21"/>
    <n v="4"/>
    <n v="3"/>
    <n v="80"/>
    <n v="1"/>
    <n v="14"/>
    <n v="3"/>
    <n v="3"/>
    <x v="8"/>
    <m/>
    <n v="4"/>
    <n v="1"/>
    <n v="4"/>
  </r>
  <r>
    <n v="42"/>
    <x v="1"/>
    <x v="0"/>
    <n v="1396"/>
    <x v="1"/>
    <n v="6"/>
    <n v="3"/>
    <x v="2"/>
    <n v="1"/>
    <n v="1911"/>
    <n v="3"/>
    <x v="1"/>
    <n v="83"/>
    <n v="3"/>
    <n v="3"/>
    <x v="7"/>
    <n v="1"/>
    <x v="1"/>
    <n v="13348"/>
    <n v="14842"/>
    <n v="9"/>
    <s v="Y"/>
    <x v="1"/>
    <n v="13"/>
    <n v="3"/>
    <n v="2"/>
    <n v="80"/>
    <n v="1"/>
    <n v="18"/>
    <n v="3"/>
    <n v="4"/>
    <x v="20"/>
    <m/>
    <n v="7"/>
    <n v="5"/>
    <n v="7"/>
  </r>
  <r>
    <n v="31"/>
    <x v="1"/>
    <x v="0"/>
    <n v="1079"/>
    <x v="0"/>
    <n v="10"/>
    <n v="2"/>
    <x v="2"/>
    <n v="1"/>
    <n v="1912"/>
    <n v="3"/>
    <x v="0"/>
    <n v="86"/>
    <n v="3"/>
    <n v="2"/>
    <x v="0"/>
    <n v="4"/>
    <x v="2"/>
    <n v="6583"/>
    <n v="20115"/>
    <n v="2"/>
    <s v="Y"/>
    <x v="0"/>
    <n v="11"/>
    <n v="3"/>
    <n v="4"/>
    <n v="80"/>
    <n v="1"/>
    <n v="8"/>
    <n v="2"/>
    <n v="3"/>
    <x v="8"/>
    <m/>
    <n v="2"/>
    <n v="1"/>
    <n v="4"/>
  </r>
  <r>
    <n v="34"/>
    <x v="1"/>
    <x v="0"/>
    <n v="735"/>
    <x v="0"/>
    <n v="3"/>
    <n v="1"/>
    <x v="2"/>
    <n v="1"/>
    <n v="1915"/>
    <n v="4"/>
    <x v="0"/>
    <n v="75"/>
    <n v="2"/>
    <n v="2"/>
    <x v="0"/>
    <n v="4"/>
    <x v="1"/>
    <n v="8103"/>
    <n v="16495"/>
    <n v="3"/>
    <s v="Y"/>
    <x v="0"/>
    <n v="12"/>
    <n v="3"/>
    <n v="3"/>
    <n v="80"/>
    <n v="0"/>
    <n v="9"/>
    <n v="3"/>
    <n v="2"/>
    <x v="9"/>
    <m/>
    <n v="2"/>
    <n v="0"/>
    <n v="1"/>
  </r>
  <r>
    <n v="31"/>
    <x v="1"/>
    <x v="0"/>
    <n v="471"/>
    <x v="1"/>
    <n v="4"/>
    <n v="3"/>
    <x v="2"/>
    <n v="1"/>
    <n v="1916"/>
    <n v="1"/>
    <x v="0"/>
    <n v="62"/>
    <n v="4"/>
    <n v="1"/>
    <x v="2"/>
    <n v="3"/>
    <x v="2"/>
    <n v="3978"/>
    <n v="16031"/>
    <n v="8"/>
    <s v="Y"/>
    <x v="1"/>
    <n v="12"/>
    <n v="3"/>
    <n v="2"/>
    <n v="80"/>
    <n v="1"/>
    <n v="4"/>
    <n v="0"/>
    <n v="2"/>
    <x v="4"/>
    <m/>
    <n v="2"/>
    <n v="2"/>
    <n v="2"/>
  </r>
  <r>
    <n v="26"/>
    <x v="1"/>
    <x v="1"/>
    <n v="1096"/>
    <x v="1"/>
    <n v="6"/>
    <n v="3"/>
    <x v="1"/>
    <n v="1"/>
    <n v="1918"/>
    <n v="3"/>
    <x v="1"/>
    <n v="61"/>
    <n v="4"/>
    <n v="1"/>
    <x v="2"/>
    <n v="4"/>
    <x v="1"/>
    <n v="2544"/>
    <n v="7102"/>
    <n v="0"/>
    <s v="Y"/>
    <x v="1"/>
    <n v="18"/>
    <n v="3"/>
    <n v="1"/>
    <n v="80"/>
    <n v="1"/>
    <n v="8"/>
    <n v="3"/>
    <n v="3"/>
    <x v="5"/>
    <m/>
    <n v="7"/>
    <n v="7"/>
    <n v="7"/>
  </r>
  <r>
    <n v="45"/>
    <x v="1"/>
    <x v="1"/>
    <n v="1297"/>
    <x v="1"/>
    <n v="1"/>
    <n v="4"/>
    <x v="2"/>
    <n v="1"/>
    <n v="1922"/>
    <n v="2"/>
    <x v="1"/>
    <n v="44"/>
    <n v="3"/>
    <n v="2"/>
    <x v="4"/>
    <n v="3"/>
    <x v="0"/>
    <n v="5399"/>
    <n v="14511"/>
    <n v="4"/>
    <s v="Y"/>
    <x v="1"/>
    <n v="12"/>
    <n v="3"/>
    <n v="3"/>
    <n v="80"/>
    <n v="0"/>
    <n v="12"/>
    <n v="3"/>
    <n v="3"/>
    <x v="9"/>
    <m/>
    <n v="2"/>
    <n v="0"/>
    <n v="3"/>
  </r>
  <r>
    <n v="33"/>
    <x v="1"/>
    <x v="0"/>
    <n v="217"/>
    <x v="0"/>
    <n v="10"/>
    <n v="4"/>
    <x v="3"/>
    <n v="1"/>
    <n v="1924"/>
    <n v="2"/>
    <x v="1"/>
    <n v="43"/>
    <n v="3"/>
    <n v="2"/>
    <x v="0"/>
    <n v="3"/>
    <x v="0"/>
    <n v="5487"/>
    <n v="10410"/>
    <n v="1"/>
    <s v="Y"/>
    <x v="1"/>
    <n v="14"/>
    <n v="3"/>
    <n v="2"/>
    <n v="80"/>
    <n v="0"/>
    <n v="10"/>
    <n v="2"/>
    <n v="2"/>
    <x v="1"/>
    <m/>
    <n v="4"/>
    <n v="0"/>
    <n v="9"/>
  </r>
  <r>
    <n v="28"/>
    <x v="1"/>
    <x v="1"/>
    <n v="783"/>
    <x v="0"/>
    <n v="1"/>
    <n v="2"/>
    <x v="0"/>
    <n v="1"/>
    <n v="1927"/>
    <n v="3"/>
    <x v="1"/>
    <n v="42"/>
    <n v="2"/>
    <n v="2"/>
    <x v="0"/>
    <n v="4"/>
    <x v="1"/>
    <n v="6834"/>
    <n v="19255"/>
    <n v="1"/>
    <s v="Y"/>
    <x v="0"/>
    <n v="12"/>
    <n v="3"/>
    <n v="3"/>
    <n v="80"/>
    <n v="1"/>
    <n v="7"/>
    <n v="2"/>
    <n v="3"/>
    <x v="5"/>
    <m/>
    <n v="7"/>
    <n v="0"/>
    <n v="7"/>
  </r>
  <r>
    <n v="29"/>
    <x v="0"/>
    <x v="1"/>
    <n v="746"/>
    <x v="0"/>
    <n v="24"/>
    <n v="3"/>
    <x v="4"/>
    <n v="1"/>
    <n v="1928"/>
    <n v="3"/>
    <x v="1"/>
    <n v="45"/>
    <n v="4"/>
    <n v="1"/>
    <x v="6"/>
    <n v="1"/>
    <x v="0"/>
    <n v="1091"/>
    <n v="10642"/>
    <n v="1"/>
    <s v="Y"/>
    <x v="1"/>
    <n v="17"/>
    <n v="3"/>
    <n v="4"/>
    <n v="80"/>
    <n v="0"/>
    <n v="1"/>
    <n v="3"/>
    <n v="3"/>
    <x v="6"/>
    <m/>
    <n v="0"/>
    <n v="0"/>
    <n v="0"/>
  </r>
  <r>
    <n v="39"/>
    <x v="1"/>
    <x v="2"/>
    <n v="1251"/>
    <x v="0"/>
    <n v="21"/>
    <n v="4"/>
    <x v="0"/>
    <n v="1"/>
    <n v="1929"/>
    <n v="1"/>
    <x v="0"/>
    <n v="32"/>
    <n v="1"/>
    <n v="2"/>
    <x v="0"/>
    <n v="3"/>
    <x v="1"/>
    <n v="5736"/>
    <n v="3987"/>
    <n v="6"/>
    <s v="Y"/>
    <x v="1"/>
    <n v="19"/>
    <n v="3"/>
    <n v="3"/>
    <n v="80"/>
    <n v="1"/>
    <n v="10"/>
    <n v="1"/>
    <n v="3"/>
    <x v="11"/>
    <m/>
    <n v="2"/>
    <n v="1"/>
    <n v="2"/>
  </r>
  <r>
    <n v="27"/>
    <x v="1"/>
    <x v="0"/>
    <n v="1354"/>
    <x v="1"/>
    <n v="2"/>
    <n v="4"/>
    <x v="4"/>
    <n v="1"/>
    <n v="1931"/>
    <n v="2"/>
    <x v="1"/>
    <n v="41"/>
    <n v="3"/>
    <n v="1"/>
    <x v="1"/>
    <n v="2"/>
    <x v="1"/>
    <n v="2226"/>
    <n v="6073"/>
    <n v="1"/>
    <s v="Y"/>
    <x v="1"/>
    <n v="11"/>
    <n v="3"/>
    <n v="3"/>
    <n v="80"/>
    <n v="1"/>
    <n v="6"/>
    <n v="3"/>
    <n v="2"/>
    <x v="8"/>
    <m/>
    <n v="3"/>
    <n v="1"/>
    <n v="2"/>
  </r>
  <r>
    <n v="34"/>
    <x v="1"/>
    <x v="1"/>
    <n v="735"/>
    <x v="1"/>
    <n v="22"/>
    <n v="4"/>
    <x v="1"/>
    <n v="1"/>
    <n v="1932"/>
    <n v="3"/>
    <x v="1"/>
    <n v="86"/>
    <n v="2"/>
    <n v="2"/>
    <x v="1"/>
    <n v="4"/>
    <x v="1"/>
    <n v="5747"/>
    <n v="26496"/>
    <n v="1"/>
    <s v="Y"/>
    <x v="0"/>
    <n v="15"/>
    <n v="3"/>
    <n v="2"/>
    <n v="80"/>
    <n v="0"/>
    <n v="16"/>
    <n v="3"/>
    <n v="3"/>
    <x v="15"/>
    <m/>
    <n v="10"/>
    <n v="6"/>
    <n v="11"/>
  </r>
  <r>
    <n v="28"/>
    <x v="0"/>
    <x v="0"/>
    <n v="1475"/>
    <x v="0"/>
    <n v="13"/>
    <n v="2"/>
    <x v="3"/>
    <n v="1"/>
    <n v="1933"/>
    <n v="4"/>
    <x v="0"/>
    <n v="84"/>
    <n v="3"/>
    <n v="2"/>
    <x v="0"/>
    <n v="3"/>
    <x v="0"/>
    <n v="9854"/>
    <n v="23352"/>
    <n v="3"/>
    <s v="Y"/>
    <x v="0"/>
    <n v="11"/>
    <n v="3"/>
    <n v="4"/>
    <n v="80"/>
    <n v="0"/>
    <n v="6"/>
    <n v="0"/>
    <n v="3"/>
    <x v="4"/>
    <m/>
    <n v="0"/>
    <n v="2"/>
    <n v="2"/>
  </r>
  <r>
    <n v="47"/>
    <x v="1"/>
    <x v="2"/>
    <n v="1169"/>
    <x v="1"/>
    <n v="14"/>
    <n v="4"/>
    <x v="4"/>
    <n v="1"/>
    <n v="1934"/>
    <n v="3"/>
    <x v="1"/>
    <n v="64"/>
    <n v="3"/>
    <n v="2"/>
    <x v="1"/>
    <n v="2"/>
    <x v="1"/>
    <n v="5467"/>
    <n v="2125"/>
    <n v="8"/>
    <s v="Y"/>
    <x v="1"/>
    <n v="18"/>
    <n v="3"/>
    <n v="3"/>
    <n v="80"/>
    <n v="1"/>
    <n v="16"/>
    <n v="4"/>
    <n v="4"/>
    <x v="3"/>
    <m/>
    <n v="7"/>
    <n v="1"/>
    <n v="7"/>
  </r>
  <r>
    <n v="56"/>
    <x v="1"/>
    <x v="0"/>
    <n v="1443"/>
    <x v="0"/>
    <n v="11"/>
    <n v="5"/>
    <x v="3"/>
    <n v="1"/>
    <n v="1935"/>
    <n v="4"/>
    <x v="0"/>
    <n v="89"/>
    <n v="2"/>
    <n v="2"/>
    <x v="0"/>
    <n v="1"/>
    <x v="1"/>
    <n v="5380"/>
    <n v="20328"/>
    <n v="4"/>
    <s v="Y"/>
    <x v="1"/>
    <n v="16"/>
    <n v="3"/>
    <n v="3"/>
    <n v="80"/>
    <n v="1"/>
    <n v="6"/>
    <n v="3"/>
    <n v="3"/>
    <x v="2"/>
    <m/>
    <n v="0"/>
    <n v="0"/>
    <n v="0"/>
  </r>
  <r>
    <n v="39"/>
    <x v="1"/>
    <x v="0"/>
    <n v="867"/>
    <x v="1"/>
    <n v="9"/>
    <n v="2"/>
    <x v="2"/>
    <n v="1"/>
    <n v="1936"/>
    <n v="1"/>
    <x v="1"/>
    <n v="87"/>
    <n v="3"/>
    <n v="2"/>
    <x v="3"/>
    <n v="1"/>
    <x v="1"/>
    <n v="5151"/>
    <n v="12315"/>
    <n v="1"/>
    <s v="Y"/>
    <x v="1"/>
    <n v="25"/>
    <n v="4"/>
    <n v="4"/>
    <n v="80"/>
    <n v="1"/>
    <n v="10"/>
    <n v="3"/>
    <n v="3"/>
    <x v="1"/>
    <m/>
    <n v="0"/>
    <n v="7"/>
    <n v="9"/>
  </r>
  <r>
    <n v="38"/>
    <x v="1"/>
    <x v="1"/>
    <n v="1394"/>
    <x v="1"/>
    <n v="8"/>
    <n v="3"/>
    <x v="2"/>
    <n v="1"/>
    <n v="1937"/>
    <n v="4"/>
    <x v="0"/>
    <n v="58"/>
    <n v="2"/>
    <n v="2"/>
    <x v="1"/>
    <n v="2"/>
    <x v="2"/>
    <n v="2133"/>
    <n v="18115"/>
    <n v="1"/>
    <s v="Y"/>
    <x v="0"/>
    <n v="16"/>
    <n v="3"/>
    <n v="3"/>
    <n v="80"/>
    <n v="1"/>
    <n v="20"/>
    <n v="3"/>
    <n v="3"/>
    <x v="23"/>
    <m/>
    <n v="11"/>
    <n v="0"/>
    <n v="7"/>
  </r>
  <r>
    <n v="58"/>
    <x v="1"/>
    <x v="0"/>
    <n v="605"/>
    <x v="0"/>
    <n v="21"/>
    <n v="3"/>
    <x v="0"/>
    <n v="1"/>
    <n v="1938"/>
    <n v="4"/>
    <x v="0"/>
    <n v="72"/>
    <n v="3"/>
    <n v="4"/>
    <x v="5"/>
    <n v="4"/>
    <x v="1"/>
    <n v="17875"/>
    <n v="11761"/>
    <n v="4"/>
    <s v="Y"/>
    <x v="0"/>
    <n v="13"/>
    <n v="3"/>
    <n v="3"/>
    <n v="80"/>
    <n v="1"/>
    <n v="29"/>
    <n v="2"/>
    <n v="2"/>
    <x v="6"/>
    <m/>
    <n v="0"/>
    <n v="0"/>
    <n v="0"/>
  </r>
  <r>
    <n v="32"/>
    <x v="0"/>
    <x v="1"/>
    <n v="238"/>
    <x v="1"/>
    <n v="5"/>
    <n v="2"/>
    <x v="0"/>
    <n v="1"/>
    <n v="1939"/>
    <n v="1"/>
    <x v="0"/>
    <n v="47"/>
    <n v="4"/>
    <n v="1"/>
    <x v="1"/>
    <n v="3"/>
    <x v="0"/>
    <n v="2432"/>
    <n v="15318"/>
    <n v="3"/>
    <s v="Y"/>
    <x v="0"/>
    <n v="14"/>
    <n v="3"/>
    <n v="1"/>
    <n v="80"/>
    <n v="0"/>
    <n v="8"/>
    <n v="2"/>
    <n v="3"/>
    <x v="9"/>
    <m/>
    <n v="1"/>
    <n v="0"/>
    <n v="3"/>
  </r>
  <r>
    <n v="38"/>
    <x v="1"/>
    <x v="0"/>
    <n v="1206"/>
    <x v="1"/>
    <n v="9"/>
    <n v="2"/>
    <x v="0"/>
    <n v="1"/>
    <n v="1940"/>
    <n v="2"/>
    <x v="1"/>
    <n v="71"/>
    <n v="3"/>
    <n v="1"/>
    <x v="1"/>
    <n v="4"/>
    <x v="2"/>
    <n v="4771"/>
    <n v="14293"/>
    <n v="2"/>
    <s v="Y"/>
    <x v="1"/>
    <n v="19"/>
    <n v="3"/>
    <n v="4"/>
    <n v="80"/>
    <n v="2"/>
    <n v="10"/>
    <n v="0"/>
    <n v="4"/>
    <x v="8"/>
    <m/>
    <n v="2"/>
    <n v="0"/>
    <n v="3"/>
  </r>
  <r>
    <n v="49"/>
    <x v="1"/>
    <x v="1"/>
    <n v="1064"/>
    <x v="1"/>
    <n v="2"/>
    <n v="1"/>
    <x v="0"/>
    <n v="1"/>
    <n v="1941"/>
    <n v="2"/>
    <x v="1"/>
    <n v="42"/>
    <n v="3"/>
    <n v="5"/>
    <x v="7"/>
    <n v="4"/>
    <x v="1"/>
    <n v="19161"/>
    <n v="13738"/>
    <n v="3"/>
    <s v="Y"/>
    <x v="1"/>
    <n v="15"/>
    <n v="3"/>
    <n v="4"/>
    <n v="80"/>
    <n v="0"/>
    <n v="28"/>
    <n v="3"/>
    <n v="3"/>
    <x v="8"/>
    <m/>
    <n v="4"/>
    <n v="4"/>
    <n v="3"/>
  </r>
  <r>
    <n v="42"/>
    <x v="1"/>
    <x v="0"/>
    <n v="419"/>
    <x v="0"/>
    <n v="12"/>
    <n v="4"/>
    <x v="3"/>
    <n v="1"/>
    <n v="1943"/>
    <n v="2"/>
    <x v="1"/>
    <n v="77"/>
    <n v="3"/>
    <n v="2"/>
    <x v="0"/>
    <n v="4"/>
    <x v="2"/>
    <n v="5087"/>
    <n v="2900"/>
    <n v="3"/>
    <s v="Y"/>
    <x v="0"/>
    <n v="12"/>
    <n v="3"/>
    <n v="3"/>
    <n v="80"/>
    <n v="2"/>
    <n v="14"/>
    <n v="4"/>
    <n v="3"/>
    <x v="2"/>
    <m/>
    <n v="0"/>
    <n v="0"/>
    <n v="0"/>
  </r>
  <r>
    <n v="27"/>
    <x v="0"/>
    <x v="1"/>
    <n v="1337"/>
    <x v="2"/>
    <n v="22"/>
    <n v="3"/>
    <x v="5"/>
    <n v="1"/>
    <n v="1944"/>
    <n v="1"/>
    <x v="0"/>
    <n v="58"/>
    <n v="2"/>
    <n v="1"/>
    <x v="8"/>
    <n v="2"/>
    <x v="1"/>
    <n v="2863"/>
    <n v="19555"/>
    <n v="1"/>
    <s v="Y"/>
    <x v="1"/>
    <n v="12"/>
    <n v="3"/>
    <n v="1"/>
    <n v="80"/>
    <n v="0"/>
    <n v="1"/>
    <n v="2"/>
    <n v="3"/>
    <x v="6"/>
    <m/>
    <n v="0"/>
    <n v="0"/>
    <n v="0"/>
  </r>
  <r>
    <n v="35"/>
    <x v="1"/>
    <x v="0"/>
    <n v="682"/>
    <x v="0"/>
    <n v="18"/>
    <n v="4"/>
    <x v="2"/>
    <n v="1"/>
    <n v="1945"/>
    <n v="2"/>
    <x v="1"/>
    <n v="71"/>
    <n v="3"/>
    <n v="2"/>
    <x v="0"/>
    <n v="1"/>
    <x v="1"/>
    <n v="5561"/>
    <n v="15975"/>
    <n v="0"/>
    <s v="Y"/>
    <x v="1"/>
    <n v="16"/>
    <n v="3"/>
    <n v="4"/>
    <n v="80"/>
    <n v="1"/>
    <n v="6"/>
    <n v="2"/>
    <n v="1"/>
    <x v="8"/>
    <m/>
    <n v="3"/>
    <n v="0"/>
    <n v="4"/>
  </r>
  <r>
    <n v="28"/>
    <x v="1"/>
    <x v="2"/>
    <n v="1103"/>
    <x v="1"/>
    <n v="16"/>
    <n v="3"/>
    <x v="2"/>
    <n v="1"/>
    <n v="1947"/>
    <n v="3"/>
    <x v="1"/>
    <n v="49"/>
    <n v="3"/>
    <n v="1"/>
    <x v="1"/>
    <n v="3"/>
    <x v="0"/>
    <n v="2144"/>
    <n v="2122"/>
    <n v="1"/>
    <s v="Y"/>
    <x v="1"/>
    <n v="14"/>
    <n v="3"/>
    <n v="3"/>
    <n v="80"/>
    <n v="0"/>
    <n v="5"/>
    <n v="3"/>
    <n v="2"/>
    <x v="8"/>
    <m/>
    <n v="3"/>
    <n v="1"/>
    <n v="4"/>
  </r>
  <r>
    <n v="31"/>
    <x v="1"/>
    <x v="2"/>
    <n v="976"/>
    <x v="1"/>
    <n v="3"/>
    <n v="2"/>
    <x v="2"/>
    <n v="1"/>
    <n v="1948"/>
    <n v="3"/>
    <x v="1"/>
    <n v="48"/>
    <n v="3"/>
    <n v="1"/>
    <x v="1"/>
    <n v="1"/>
    <x v="2"/>
    <n v="3065"/>
    <n v="3995"/>
    <n v="1"/>
    <s v="Y"/>
    <x v="0"/>
    <n v="13"/>
    <n v="3"/>
    <n v="4"/>
    <n v="80"/>
    <n v="1"/>
    <n v="4"/>
    <n v="3"/>
    <n v="4"/>
    <x v="9"/>
    <m/>
    <n v="2"/>
    <n v="2"/>
    <n v="3"/>
  </r>
  <r>
    <n v="36"/>
    <x v="1"/>
    <x v="2"/>
    <n v="1351"/>
    <x v="1"/>
    <n v="9"/>
    <n v="4"/>
    <x v="0"/>
    <n v="1"/>
    <n v="1949"/>
    <n v="1"/>
    <x v="1"/>
    <n v="66"/>
    <n v="4"/>
    <n v="1"/>
    <x v="2"/>
    <n v="2"/>
    <x v="1"/>
    <n v="2810"/>
    <n v="9238"/>
    <n v="1"/>
    <s v="Y"/>
    <x v="1"/>
    <n v="22"/>
    <n v="4"/>
    <n v="2"/>
    <n v="80"/>
    <n v="0"/>
    <n v="5"/>
    <n v="3"/>
    <n v="3"/>
    <x v="8"/>
    <m/>
    <n v="4"/>
    <n v="0"/>
    <n v="2"/>
  </r>
  <r>
    <n v="34"/>
    <x v="1"/>
    <x v="0"/>
    <n v="937"/>
    <x v="0"/>
    <n v="1"/>
    <n v="3"/>
    <x v="3"/>
    <n v="1"/>
    <n v="1950"/>
    <n v="1"/>
    <x v="1"/>
    <n v="32"/>
    <n v="3"/>
    <n v="3"/>
    <x v="0"/>
    <n v="4"/>
    <x v="0"/>
    <n v="9888"/>
    <n v="6770"/>
    <n v="1"/>
    <s v="Y"/>
    <x v="1"/>
    <n v="21"/>
    <n v="4"/>
    <n v="1"/>
    <n v="80"/>
    <n v="0"/>
    <n v="14"/>
    <n v="3"/>
    <n v="2"/>
    <x v="13"/>
    <m/>
    <n v="8"/>
    <n v="2"/>
    <n v="1"/>
  </r>
  <r>
    <n v="34"/>
    <x v="1"/>
    <x v="0"/>
    <n v="1239"/>
    <x v="0"/>
    <n v="13"/>
    <n v="4"/>
    <x v="2"/>
    <n v="1"/>
    <n v="1951"/>
    <n v="4"/>
    <x v="1"/>
    <n v="39"/>
    <n v="3"/>
    <n v="3"/>
    <x v="0"/>
    <n v="3"/>
    <x v="2"/>
    <n v="8628"/>
    <n v="22914"/>
    <n v="1"/>
    <s v="Y"/>
    <x v="1"/>
    <n v="18"/>
    <n v="3"/>
    <n v="3"/>
    <n v="80"/>
    <n v="1"/>
    <n v="9"/>
    <n v="2"/>
    <n v="2"/>
    <x v="3"/>
    <m/>
    <n v="7"/>
    <n v="1"/>
    <n v="1"/>
  </r>
  <r>
    <n v="26"/>
    <x v="1"/>
    <x v="0"/>
    <n v="157"/>
    <x v="1"/>
    <n v="1"/>
    <n v="3"/>
    <x v="2"/>
    <n v="1"/>
    <n v="1952"/>
    <n v="3"/>
    <x v="1"/>
    <n v="95"/>
    <n v="3"/>
    <n v="1"/>
    <x v="2"/>
    <n v="1"/>
    <x v="0"/>
    <n v="2867"/>
    <n v="20006"/>
    <n v="0"/>
    <s v="Y"/>
    <x v="1"/>
    <n v="13"/>
    <n v="3"/>
    <n v="4"/>
    <n v="80"/>
    <n v="0"/>
    <n v="8"/>
    <n v="6"/>
    <n v="2"/>
    <x v="5"/>
    <m/>
    <n v="7"/>
    <n v="7"/>
    <n v="6"/>
  </r>
  <r>
    <n v="29"/>
    <x v="1"/>
    <x v="0"/>
    <n v="136"/>
    <x v="1"/>
    <n v="1"/>
    <n v="3"/>
    <x v="0"/>
    <n v="1"/>
    <n v="1954"/>
    <n v="1"/>
    <x v="1"/>
    <n v="89"/>
    <n v="3"/>
    <n v="2"/>
    <x v="4"/>
    <n v="1"/>
    <x v="1"/>
    <n v="5373"/>
    <n v="6225"/>
    <n v="0"/>
    <s v="Y"/>
    <x v="1"/>
    <n v="12"/>
    <n v="3"/>
    <n v="1"/>
    <n v="80"/>
    <n v="1"/>
    <n v="6"/>
    <n v="5"/>
    <n v="2"/>
    <x v="8"/>
    <m/>
    <n v="3"/>
    <n v="0"/>
    <n v="2"/>
  </r>
  <r>
    <n v="32"/>
    <x v="1"/>
    <x v="2"/>
    <n v="1146"/>
    <x v="1"/>
    <n v="15"/>
    <n v="4"/>
    <x v="2"/>
    <n v="1"/>
    <n v="1955"/>
    <n v="3"/>
    <x v="0"/>
    <n v="34"/>
    <n v="3"/>
    <n v="2"/>
    <x v="4"/>
    <n v="4"/>
    <x v="2"/>
    <n v="6667"/>
    <n v="16542"/>
    <n v="5"/>
    <s v="Y"/>
    <x v="1"/>
    <n v="18"/>
    <n v="3"/>
    <n v="2"/>
    <n v="80"/>
    <n v="1"/>
    <n v="9"/>
    <n v="6"/>
    <n v="3"/>
    <x v="8"/>
    <m/>
    <n v="1"/>
    <n v="1"/>
    <n v="2"/>
  </r>
  <r>
    <n v="31"/>
    <x v="1"/>
    <x v="1"/>
    <n v="1125"/>
    <x v="1"/>
    <n v="1"/>
    <n v="3"/>
    <x v="0"/>
    <n v="1"/>
    <n v="1956"/>
    <n v="4"/>
    <x v="1"/>
    <n v="48"/>
    <n v="1"/>
    <n v="2"/>
    <x v="1"/>
    <n v="1"/>
    <x v="1"/>
    <n v="5003"/>
    <n v="5771"/>
    <n v="1"/>
    <s v="Y"/>
    <x v="1"/>
    <n v="21"/>
    <n v="4"/>
    <n v="2"/>
    <n v="80"/>
    <n v="0"/>
    <n v="10"/>
    <n v="6"/>
    <n v="3"/>
    <x v="1"/>
    <m/>
    <n v="8"/>
    <n v="8"/>
    <n v="7"/>
  </r>
  <r>
    <n v="28"/>
    <x v="0"/>
    <x v="0"/>
    <n v="1404"/>
    <x v="1"/>
    <n v="17"/>
    <n v="3"/>
    <x v="4"/>
    <n v="1"/>
    <n v="1960"/>
    <n v="3"/>
    <x v="1"/>
    <n v="32"/>
    <n v="2"/>
    <n v="1"/>
    <x v="2"/>
    <n v="4"/>
    <x v="2"/>
    <n v="2367"/>
    <n v="18779"/>
    <n v="5"/>
    <s v="Y"/>
    <x v="1"/>
    <n v="12"/>
    <n v="3"/>
    <n v="1"/>
    <n v="80"/>
    <n v="1"/>
    <n v="6"/>
    <n v="2"/>
    <n v="2"/>
    <x v="9"/>
    <m/>
    <n v="1"/>
    <n v="0"/>
    <n v="3"/>
  </r>
  <r>
    <n v="38"/>
    <x v="1"/>
    <x v="0"/>
    <n v="1404"/>
    <x v="0"/>
    <n v="1"/>
    <n v="3"/>
    <x v="0"/>
    <n v="1"/>
    <n v="1961"/>
    <n v="1"/>
    <x v="1"/>
    <n v="59"/>
    <n v="2"/>
    <n v="1"/>
    <x v="6"/>
    <n v="1"/>
    <x v="0"/>
    <n v="2858"/>
    <n v="11473"/>
    <n v="4"/>
    <s v="Y"/>
    <x v="1"/>
    <n v="14"/>
    <n v="3"/>
    <n v="1"/>
    <n v="80"/>
    <n v="0"/>
    <n v="20"/>
    <n v="3"/>
    <n v="2"/>
    <x v="6"/>
    <m/>
    <n v="0"/>
    <n v="0"/>
    <n v="0"/>
  </r>
  <r>
    <n v="35"/>
    <x v="1"/>
    <x v="0"/>
    <n v="1224"/>
    <x v="0"/>
    <n v="7"/>
    <n v="4"/>
    <x v="0"/>
    <n v="1"/>
    <n v="1962"/>
    <n v="3"/>
    <x v="0"/>
    <n v="55"/>
    <n v="3"/>
    <n v="2"/>
    <x v="0"/>
    <n v="4"/>
    <x v="1"/>
    <n v="5204"/>
    <n v="13586"/>
    <n v="1"/>
    <s v="Y"/>
    <x v="0"/>
    <n v="11"/>
    <n v="3"/>
    <n v="4"/>
    <n v="80"/>
    <n v="0"/>
    <n v="10"/>
    <n v="2"/>
    <n v="3"/>
    <x v="1"/>
    <m/>
    <n v="8"/>
    <n v="0"/>
    <n v="9"/>
  </r>
  <r>
    <n v="27"/>
    <x v="1"/>
    <x v="0"/>
    <n v="954"/>
    <x v="0"/>
    <n v="9"/>
    <n v="3"/>
    <x v="3"/>
    <n v="1"/>
    <n v="1965"/>
    <n v="4"/>
    <x v="1"/>
    <n v="44"/>
    <n v="3"/>
    <n v="2"/>
    <x v="0"/>
    <n v="4"/>
    <x v="0"/>
    <n v="4105"/>
    <n v="5099"/>
    <n v="1"/>
    <s v="Y"/>
    <x v="1"/>
    <n v="14"/>
    <n v="3"/>
    <n v="1"/>
    <n v="80"/>
    <n v="0"/>
    <n v="7"/>
    <n v="5"/>
    <n v="3"/>
    <x v="5"/>
    <m/>
    <n v="7"/>
    <n v="0"/>
    <n v="7"/>
  </r>
  <r>
    <n v="32"/>
    <x v="1"/>
    <x v="0"/>
    <n v="1373"/>
    <x v="1"/>
    <n v="5"/>
    <n v="4"/>
    <x v="0"/>
    <n v="1"/>
    <n v="1966"/>
    <n v="4"/>
    <x v="1"/>
    <n v="56"/>
    <n v="2"/>
    <n v="2"/>
    <x v="3"/>
    <n v="4"/>
    <x v="0"/>
    <n v="9679"/>
    <n v="10138"/>
    <n v="8"/>
    <s v="Y"/>
    <x v="1"/>
    <n v="24"/>
    <n v="4"/>
    <n v="2"/>
    <n v="80"/>
    <n v="0"/>
    <n v="8"/>
    <n v="1"/>
    <n v="3"/>
    <x v="6"/>
    <m/>
    <n v="0"/>
    <n v="0"/>
    <n v="0"/>
  </r>
  <r>
    <n v="31"/>
    <x v="0"/>
    <x v="1"/>
    <n v="754"/>
    <x v="0"/>
    <n v="26"/>
    <n v="4"/>
    <x v="3"/>
    <n v="1"/>
    <n v="1967"/>
    <n v="1"/>
    <x v="1"/>
    <n v="63"/>
    <n v="3"/>
    <n v="2"/>
    <x v="0"/>
    <n v="4"/>
    <x v="1"/>
    <n v="5617"/>
    <n v="21075"/>
    <n v="1"/>
    <s v="Y"/>
    <x v="0"/>
    <n v="11"/>
    <n v="3"/>
    <n v="3"/>
    <n v="80"/>
    <n v="0"/>
    <n v="10"/>
    <n v="4"/>
    <n v="3"/>
    <x v="1"/>
    <m/>
    <n v="7"/>
    <n v="0"/>
    <n v="8"/>
  </r>
  <r>
    <n v="53"/>
    <x v="0"/>
    <x v="0"/>
    <n v="1168"/>
    <x v="0"/>
    <n v="24"/>
    <n v="4"/>
    <x v="0"/>
    <n v="1"/>
    <n v="1968"/>
    <n v="1"/>
    <x v="1"/>
    <n v="66"/>
    <n v="3"/>
    <n v="3"/>
    <x v="0"/>
    <n v="1"/>
    <x v="0"/>
    <n v="10448"/>
    <n v="5843"/>
    <n v="6"/>
    <s v="Y"/>
    <x v="0"/>
    <n v="13"/>
    <n v="3"/>
    <n v="2"/>
    <n v="80"/>
    <n v="0"/>
    <n v="15"/>
    <n v="2"/>
    <n v="2"/>
    <x v="4"/>
    <m/>
    <n v="2"/>
    <n v="2"/>
    <n v="2"/>
  </r>
  <r>
    <n v="54"/>
    <x v="1"/>
    <x v="0"/>
    <n v="155"/>
    <x v="1"/>
    <n v="9"/>
    <n v="2"/>
    <x v="0"/>
    <n v="1"/>
    <n v="1969"/>
    <n v="1"/>
    <x v="0"/>
    <n v="67"/>
    <n v="3"/>
    <n v="2"/>
    <x v="1"/>
    <n v="3"/>
    <x v="1"/>
    <n v="2897"/>
    <n v="22474"/>
    <n v="3"/>
    <s v="Y"/>
    <x v="1"/>
    <n v="11"/>
    <n v="3"/>
    <n v="3"/>
    <n v="80"/>
    <n v="2"/>
    <n v="9"/>
    <n v="6"/>
    <n v="2"/>
    <x v="9"/>
    <m/>
    <n v="3"/>
    <n v="2"/>
    <n v="3"/>
  </r>
  <r>
    <n v="33"/>
    <x v="1"/>
    <x v="1"/>
    <n v="1303"/>
    <x v="1"/>
    <n v="7"/>
    <n v="2"/>
    <x v="0"/>
    <n v="1"/>
    <n v="1970"/>
    <n v="4"/>
    <x v="1"/>
    <n v="36"/>
    <n v="3"/>
    <n v="2"/>
    <x v="4"/>
    <n v="3"/>
    <x v="2"/>
    <n v="5968"/>
    <n v="18079"/>
    <n v="1"/>
    <s v="Y"/>
    <x v="1"/>
    <n v="20"/>
    <n v="4"/>
    <n v="3"/>
    <n v="80"/>
    <n v="3"/>
    <n v="9"/>
    <n v="2"/>
    <n v="3"/>
    <x v="7"/>
    <m/>
    <n v="7"/>
    <n v="2"/>
    <n v="8"/>
  </r>
  <r>
    <n v="43"/>
    <x v="1"/>
    <x v="0"/>
    <n v="574"/>
    <x v="1"/>
    <n v="11"/>
    <n v="3"/>
    <x v="0"/>
    <n v="1"/>
    <n v="1971"/>
    <n v="1"/>
    <x v="1"/>
    <n v="30"/>
    <n v="3"/>
    <n v="3"/>
    <x v="4"/>
    <n v="3"/>
    <x v="1"/>
    <n v="7510"/>
    <n v="16873"/>
    <n v="1"/>
    <s v="Y"/>
    <x v="1"/>
    <n v="17"/>
    <n v="3"/>
    <n v="2"/>
    <n v="80"/>
    <n v="1"/>
    <n v="10"/>
    <n v="1"/>
    <n v="3"/>
    <x v="1"/>
    <m/>
    <n v="9"/>
    <n v="0"/>
    <n v="9"/>
  </r>
  <r>
    <n v="38"/>
    <x v="1"/>
    <x v="1"/>
    <n v="1444"/>
    <x v="2"/>
    <n v="1"/>
    <n v="4"/>
    <x v="1"/>
    <n v="1"/>
    <n v="1972"/>
    <n v="4"/>
    <x v="1"/>
    <n v="88"/>
    <n v="3"/>
    <n v="1"/>
    <x v="8"/>
    <n v="2"/>
    <x v="1"/>
    <n v="2991"/>
    <n v="5224"/>
    <n v="0"/>
    <s v="Y"/>
    <x v="0"/>
    <n v="11"/>
    <n v="3"/>
    <n v="2"/>
    <n v="80"/>
    <n v="1"/>
    <n v="7"/>
    <n v="2"/>
    <n v="3"/>
    <x v="0"/>
    <m/>
    <n v="2"/>
    <n v="1"/>
    <n v="2"/>
  </r>
  <r>
    <n v="55"/>
    <x v="1"/>
    <x v="0"/>
    <n v="189"/>
    <x v="2"/>
    <n v="26"/>
    <n v="4"/>
    <x v="5"/>
    <n v="1"/>
    <n v="1973"/>
    <n v="3"/>
    <x v="1"/>
    <n v="71"/>
    <n v="4"/>
    <n v="5"/>
    <x v="5"/>
    <n v="2"/>
    <x v="1"/>
    <n v="19636"/>
    <n v="25811"/>
    <n v="4"/>
    <s v="Y"/>
    <x v="0"/>
    <n v="18"/>
    <n v="3"/>
    <n v="1"/>
    <n v="80"/>
    <n v="1"/>
    <n v="35"/>
    <n v="0"/>
    <n v="3"/>
    <x v="1"/>
    <m/>
    <n v="9"/>
    <n v="1"/>
    <n v="4"/>
  </r>
  <r>
    <n v="31"/>
    <x v="1"/>
    <x v="0"/>
    <n v="1276"/>
    <x v="1"/>
    <n v="2"/>
    <n v="1"/>
    <x v="2"/>
    <n v="1"/>
    <n v="1974"/>
    <n v="4"/>
    <x v="0"/>
    <n v="59"/>
    <n v="1"/>
    <n v="1"/>
    <x v="2"/>
    <n v="4"/>
    <x v="2"/>
    <n v="1129"/>
    <n v="17536"/>
    <n v="1"/>
    <s v="Y"/>
    <x v="0"/>
    <n v="11"/>
    <n v="3"/>
    <n v="3"/>
    <n v="80"/>
    <n v="3"/>
    <n v="1"/>
    <n v="4"/>
    <n v="3"/>
    <x v="6"/>
    <m/>
    <n v="0"/>
    <n v="0"/>
    <n v="0"/>
  </r>
  <r>
    <n v="39"/>
    <x v="1"/>
    <x v="0"/>
    <n v="119"/>
    <x v="0"/>
    <n v="15"/>
    <n v="4"/>
    <x v="3"/>
    <n v="1"/>
    <n v="1975"/>
    <n v="2"/>
    <x v="1"/>
    <n v="77"/>
    <n v="3"/>
    <n v="4"/>
    <x v="0"/>
    <n v="1"/>
    <x v="0"/>
    <n v="13341"/>
    <n v="25098"/>
    <n v="0"/>
    <s v="Y"/>
    <x v="1"/>
    <n v="12"/>
    <n v="3"/>
    <n v="1"/>
    <n v="80"/>
    <n v="0"/>
    <n v="21"/>
    <n v="3"/>
    <n v="3"/>
    <x v="23"/>
    <m/>
    <n v="8"/>
    <n v="11"/>
    <n v="10"/>
  </r>
  <r>
    <n v="42"/>
    <x v="1"/>
    <x v="2"/>
    <n v="335"/>
    <x v="1"/>
    <n v="23"/>
    <n v="2"/>
    <x v="0"/>
    <n v="1"/>
    <n v="1976"/>
    <n v="4"/>
    <x v="1"/>
    <n v="37"/>
    <n v="2"/>
    <n v="2"/>
    <x v="1"/>
    <n v="3"/>
    <x v="0"/>
    <n v="4332"/>
    <n v="14811"/>
    <n v="1"/>
    <s v="Y"/>
    <x v="1"/>
    <n v="12"/>
    <n v="3"/>
    <n v="4"/>
    <n v="80"/>
    <n v="0"/>
    <n v="20"/>
    <n v="2"/>
    <n v="3"/>
    <x v="23"/>
    <m/>
    <n v="9"/>
    <n v="3"/>
    <n v="7"/>
  </r>
  <r>
    <n v="31"/>
    <x v="1"/>
    <x v="2"/>
    <n v="697"/>
    <x v="1"/>
    <n v="10"/>
    <n v="3"/>
    <x v="2"/>
    <n v="1"/>
    <n v="1979"/>
    <n v="3"/>
    <x v="0"/>
    <n v="40"/>
    <n v="3"/>
    <n v="3"/>
    <x v="7"/>
    <n v="3"/>
    <x v="1"/>
    <n v="11031"/>
    <n v="26862"/>
    <n v="4"/>
    <s v="Y"/>
    <x v="1"/>
    <n v="20"/>
    <n v="4"/>
    <n v="3"/>
    <n v="80"/>
    <n v="1"/>
    <n v="13"/>
    <n v="2"/>
    <n v="4"/>
    <x v="19"/>
    <m/>
    <n v="7"/>
    <n v="4"/>
    <n v="8"/>
  </r>
  <r>
    <n v="54"/>
    <x v="1"/>
    <x v="0"/>
    <n v="157"/>
    <x v="1"/>
    <n v="10"/>
    <n v="3"/>
    <x v="2"/>
    <n v="1"/>
    <n v="1980"/>
    <n v="3"/>
    <x v="0"/>
    <n v="77"/>
    <n v="3"/>
    <n v="2"/>
    <x v="3"/>
    <n v="1"/>
    <x v="0"/>
    <n v="4440"/>
    <n v="25198"/>
    <n v="6"/>
    <s v="Y"/>
    <x v="0"/>
    <n v="19"/>
    <n v="3"/>
    <n v="4"/>
    <n v="80"/>
    <n v="0"/>
    <n v="9"/>
    <n v="3"/>
    <n v="3"/>
    <x v="8"/>
    <m/>
    <n v="2"/>
    <n v="1"/>
    <n v="4"/>
  </r>
  <r>
    <n v="24"/>
    <x v="1"/>
    <x v="0"/>
    <n v="771"/>
    <x v="1"/>
    <n v="1"/>
    <n v="2"/>
    <x v="0"/>
    <n v="1"/>
    <n v="1981"/>
    <n v="2"/>
    <x v="1"/>
    <n v="45"/>
    <n v="2"/>
    <n v="2"/>
    <x v="4"/>
    <n v="3"/>
    <x v="0"/>
    <n v="4617"/>
    <n v="14120"/>
    <n v="1"/>
    <s v="Y"/>
    <x v="1"/>
    <n v="12"/>
    <n v="3"/>
    <n v="2"/>
    <n v="80"/>
    <n v="0"/>
    <n v="4"/>
    <n v="2"/>
    <n v="2"/>
    <x v="9"/>
    <m/>
    <n v="3"/>
    <n v="1"/>
    <n v="2"/>
  </r>
  <r>
    <n v="23"/>
    <x v="1"/>
    <x v="0"/>
    <n v="571"/>
    <x v="1"/>
    <n v="12"/>
    <n v="2"/>
    <x v="1"/>
    <n v="1"/>
    <n v="1982"/>
    <n v="4"/>
    <x v="1"/>
    <n v="78"/>
    <n v="3"/>
    <n v="1"/>
    <x v="2"/>
    <n v="4"/>
    <x v="0"/>
    <n v="2647"/>
    <n v="13672"/>
    <n v="1"/>
    <s v="Y"/>
    <x v="1"/>
    <n v="13"/>
    <n v="3"/>
    <n v="3"/>
    <n v="80"/>
    <n v="0"/>
    <n v="5"/>
    <n v="6"/>
    <n v="4"/>
    <x v="8"/>
    <m/>
    <n v="2"/>
    <n v="1"/>
    <n v="4"/>
  </r>
  <r>
    <n v="40"/>
    <x v="1"/>
    <x v="1"/>
    <n v="692"/>
    <x v="1"/>
    <n v="11"/>
    <n v="3"/>
    <x v="4"/>
    <n v="1"/>
    <n v="1985"/>
    <n v="4"/>
    <x v="0"/>
    <n v="73"/>
    <n v="3"/>
    <n v="2"/>
    <x v="2"/>
    <n v="3"/>
    <x v="1"/>
    <n v="6323"/>
    <n v="26849"/>
    <n v="1"/>
    <s v="Y"/>
    <x v="1"/>
    <n v="11"/>
    <n v="3"/>
    <n v="1"/>
    <n v="80"/>
    <n v="1"/>
    <n v="10"/>
    <n v="2"/>
    <n v="4"/>
    <x v="1"/>
    <m/>
    <n v="9"/>
    <n v="9"/>
    <n v="4"/>
  </r>
  <r>
    <n v="40"/>
    <x v="1"/>
    <x v="0"/>
    <n v="444"/>
    <x v="0"/>
    <n v="2"/>
    <n v="2"/>
    <x v="3"/>
    <n v="1"/>
    <n v="1986"/>
    <n v="2"/>
    <x v="0"/>
    <n v="92"/>
    <n v="3"/>
    <n v="2"/>
    <x v="0"/>
    <n v="2"/>
    <x v="1"/>
    <n v="5677"/>
    <n v="4258"/>
    <n v="3"/>
    <s v="Y"/>
    <x v="1"/>
    <n v="14"/>
    <n v="3"/>
    <n v="3"/>
    <n v="80"/>
    <n v="1"/>
    <n v="15"/>
    <n v="4"/>
    <n v="3"/>
    <x v="19"/>
    <m/>
    <n v="8"/>
    <n v="5"/>
    <n v="10"/>
  </r>
  <r>
    <n v="25"/>
    <x v="1"/>
    <x v="0"/>
    <n v="309"/>
    <x v="2"/>
    <n v="2"/>
    <n v="3"/>
    <x v="5"/>
    <n v="1"/>
    <n v="1987"/>
    <n v="3"/>
    <x v="0"/>
    <n v="82"/>
    <n v="3"/>
    <n v="1"/>
    <x v="8"/>
    <n v="2"/>
    <x v="1"/>
    <n v="2187"/>
    <n v="19655"/>
    <n v="4"/>
    <s v="Y"/>
    <x v="1"/>
    <n v="14"/>
    <n v="3"/>
    <n v="3"/>
    <n v="80"/>
    <n v="0"/>
    <n v="6"/>
    <n v="3"/>
    <n v="3"/>
    <x v="4"/>
    <m/>
    <n v="0"/>
    <n v="1"/>
    <n v="2"/>
  </r>
  <r>
    <n v="30"/>
    <x v="1"/>
    <x v="0"/>
    <n v="911"/>
    <x v="1"/>
    <n v="1"/>
    <n v="2"/>
    <x v="2"/>
    <n v="1"/>
    <n v="1989"/>
    <n v="4"/>
    <x v="1"/>
    <n v="76"/>
    <n v="3"/>
    <n v="1"/>
    <x v="2"/>
    <n v="2"/>
    <x v="1"/>
    <n v="3748"/>
    <n v="4077"/>
    <n v="1"/>
    <s v="Y"/>
    <x v="1"/>
    <n v="13"/>
    <n v="3"/>
    <n v="3"/>
    <n v="80"/>
    <n v="0"/>
    <n v="12"/>
    <n v="6"/>
    <n v="2"/>
    <x v="12"/>
    <m/>
    <n v="8"/>
    <n v="1"/>
    <n v="7"/>
  </r>
  <r>
    <n v="25"/>
    <x v="1"/>
    <x v="0"/>
    <n v="977"/>
    <x v="1"/>
    <n v="2"/>
    <n v="1"/>
    <x v="1"/>
    <n v="1"/>
    <n v="1992"/>
    <n v="4"/>
    <x v="1"/>
    <n v="57"/>
    <n v="3"/>
    <n v="1"/>
    <x v="2"/>
    <n v="3"/>
    <x v="2"/>
    <n v="3977"/>
    <n v="7298"/>
    <n v="6"/>
    <s v="Y"/>
    <x v="0"/>
    <n v="19"/>
    <n v="3"/>
    <n v="3"/>
    <n v="80"/>
    <n v="1"/>
    <n v="7"/>
    <n v="2"/>
    <n v="2"/>
    <x v="4"/>
    <m/>
    <n v="2"/>
    <n v="0"/>
    <n v="2"/>
  </r>
  <r>
    <n v="47"/>
    <x v="1"/>
    <x v="0"/>
    <n v="1180"/>
    <x v="1"/>
    <n v="25"/>
    <n v="3"/>
    <x v="2"/>
    <n v="1"/>
    <n v="1993"/>
    <n v="1"/>
    <x v="1"/>
    <n v="84"/>
    <n v="3"/>
    <n v="3"/>
    <x v="4"/>
    <n v="3"/>
    <x v="0"/>
    <n v="8633"/>
    <n v="13084"/>
    <n v="2"/>
    <s v="Y"/>
    <x v="1"/>
    <n v="23"/>
    <n v="4"/>
    <n v="2"/>
    <n v="80"/>
    <n v="0"/>
    <n v="25"/>
    <n v="3"/>
    <n v="3"/>
    <x v="18"/>
    <m/>
    <n v="14"/>
    <n v="12"/>
    <n v="11"/>
  </r>
  <r>
    <n v="33"/>
    <x v="1"/>
    <x v="2"/>
    <n v="1313"/>
    <x v="1"/>
    <n v="1"/>
    <n v="2"/>
    <x v="2"/>
    <n v="1"/>
    <n v="1994"/>
    <n v="2"/>
    <x v="1"/>
    <n v="59"/>
    <n v="2"/>
    <n v="1"/>
    <x v="2"/>
    <n v="3"/>
    <x v="2"/>
    <n v="2008"/>
    <n v="20439"/>
    <n v="1"/>
    <s v="Y"/>
    <x v="1"/>
    <n v="12"/>
    <n v="3"/>
    <n v="3"/>
    <n v="80"/>
    <n v="3"/>
    <n v="1"/>
    <n v="2"/>
    <n v="2"/>
    <x v="6"/>
    <m/>
    <n v="1"/>
    <n v="0"/>
    <n v="0"/>
  </r>
  <r>
    <n v="38"/>
    <x v="1"/>
    <x v="0"/>
    <n v="1321"/>
    <x v="0"/>
    <n v="1"/>
    <n v="4"/>
    <x v="0"/>
    <n v="1"/>
    <n v="1995"/>
    <n v="4"/>
    <x v="1"/>
    <n v="86"/>
    <n v="3"/>
    <n v="2"/>
    <x v="0"/>
    <n v="2"/>
    <x v="1"/>
    <n v="4440"/>
    <n v="7636"/>
    <n v="0"/>
    <s v="Y"/>
    <x v="1"/>
    <n v="15"/>
    <n v="3"/>
    <n v="1"/>
    <n v="80"/>
    <n v="2"/>
    <n v="16"/>
    <n v="3"/>
    <n v="3"/>
    <x v="15"/>
    <m/>
    <n v="13"/>
    <n v="5"/>
    <n v="8"/>
  </r>
  <r>
    <n v="31"/>
    <x v="1"/>
    <x v="0"/>
    <n v="1154"/>
    <x v="0"/>
    <n v="2"/>
    <n v="2"/>
    <x v="0"/>
    <n v="1"/>
    <n v="1996"/>
    <n v="1"/>
    <x v="1"/>
    <n v="54"/>
    <n v="3"/>
    <n v="1"/>
    <x v="6"/>
    <n v="3"/>
    <x v="1"/>
    <n v="3067"/>
    <n v="6393"/>
    <n v="0"/>
    <s v="Y"/>
    <x v="1"/>
    <n v="19"/>
    <n v="3"/>
    <n v="3"/>
    <n v="80"/>
    <n v="1"/>
    <n v="3"/>
    <n v="1"/>
    <n v="3"/>
    <x v="4"/>
    <m/>
    <n v="2"/>
    <n v="1"/>
    <n v="2"/>
  </r>
  <r>
    <n v="38"/>
    <x v="1"/>
    <x v="1"/>
    <n v="508"/>
    <x v="1"/>
    <n v="6"/>
    <n v="4"/>
    <x v="0"/>
    <n v="1"/>
    <n v="1997"/>
    <n v="1"/>
    <x v="1"/>
    <n v="72"/>
    <n v="2"/>
    <n v="2"/>
    <x v="3"/>
    <n v="3"/>
    <x v="1"/>
    <n v="5321"/>
    <n v="14284"/>
    <n v="2"/>
    <s v="Y"/>
    <x v="1"/>
    <n v="11"/>
    <n v="3"/>
    <n v="4"/>
    <n v="80"/>
    <n v="1"/>
    <n v="10"/>
    <n v="1"/>
    <n v="3"/>
    <x v="3"/>
    <m/>
    <n v="3"/>
    <n v="7"/>
    <n v="7"/>
  </r>
  <r>
    <n v="42"/>
    <x v="1"/>
    <x v="0"/>
    <n v="557"/>
    <x v="1"/>
    <n v="18"/>
    <n v="4"/>
    <x v="0"/>
    <n v="1"/>
    <n v="1998"/>
    <n v="4"/>
    <x v="1"/>
    <n v="35"/>
    <n v="3"/>
    <n v="2"/>
    <x v="1"/>
    <n v="1"/>
    <x v="2"/>
    <n v="5410"/>
    <n v="11189"/>
    <n v="6"/>
    <s v="Y"/>
    <x v="0"/>
    <n v="17"/>
    <n v="3"/>
    <n v="3"/>
    <n v="80"/>
    <n v="1"/>
    <n v="9"/>
    <n v="3"/>
    <n v="2"/>
    <x v="9"/>
    <m/>
    <n v="3"/>
    <n v="1"/>
    <n v="2"/>
  </r>
  <r>
    <n v="41"/>
    <x v="1"/>
    <x v="0"/>
    <n v="642"/>
    <x v="1"/>
    <n v="1"/>
    <n v="3"/>
    <x v="0"/>
    <n v="1"/>
    <n v="1999"/>
    <n v="4"/>
    <x v="1"/>
    <n v="76"/>
    <n v="3"/>
    <n v="1"/>
    <x v="1"/>
    <n v="4"/>
    <x v="1"/>
    <n v="2782"/>
    <n v="21412"/>
    <n v="3"/>
    <s v="Y"/>
    <x v="1"/>
    <n v="22"/>
    <n v="4"/>
    <n v="1"/>
    <n v="80"/>
    <n v="1"/>
    <n v="12"/>
    <n v="3"/>
    <n v="3"/>
    <x v="8"/>
    <m/>
    <n v="3"/>
    <n v="1"/>
    <n v="0"/>
  </r>
  <r>
    <n v="47"/>
    <x v="1"/>
    <x v="2"/>
    <n v="1162"/>
    <x v="1"/>
    <n v="1"/>
    <n v="1"/>
    <x v="2"/>
    <n v="1"/>
    <n v="2000"/>
    <n v="3"/>
    <x v="0"/>
    <n v="98"/>
    <n v="3"/>
    <n v="3"/>
    <x v="7"/>
    <n v="2"/>
    <x v="1"/>
    <n v="11957"/>
    <n v="17231"/>
    <n v="0"/>
    <s v="Y"/>
    <x v="1"/>
    <n v="18"/>
    <n v="3"/>
    <n v="1"/>
    <n v="80"/>
    <n v="2"/>
    <n v="14"/>
    <n v="3"/>
    <n v="1"/>
    <x v="20"/>
    <m/>
    <n v="8"/>
    <n v="5"/>
    <n v="12"/>
  </r>
  <r>
    <n v="35"/>
    <x v="1"/>
    <x v="0"/>
    <n v="1490"/>
    <x v="1"/>
    <n v="11"/>
    <n v="4"/>
    <x v="2"/>
    <n v="1"/>
    <n v="2003"/>
    <n v="4"/>
    <x v="1"/>
    <n v="43"/>
    <n v="3"/>
    <n v="1"/>
    <x v="2"/>
    <n v="3"/>
    <x v="1"/>
    <n v="2660"/>
    <n v="20232"/>
    <n v="7"/>
    <s v="Y"/>
    <x v="0"/>
    <n v="11"/>
    <n v="3"/>
    <n v="3"/>
    <n v="80"/>
    <n v="1"/>
    <n v="5"/>
    <n v="3"/>
    <n v="3"/>
    <x v="4"/>
    <m/>
    <n v="2"/>
    <n v="2"/>
    <n v="2"/>
  </r>
  <r>
    <n v="22"/>
    <x v="1"/>
    <x v="0"/>
    <n v="581"/>
    <x v="1"/>
    <n v="1"/>
    <n v="2"/>
    <x v="0"/>
    <n v="1"/>
    <n v="2007"/>
    <n v="4"/>
    <x v="1"/>
    <n v="63"/>
    <n v="3"/>
    <n v="1"/>
    <x v="1"/>
    <n v="3"/>
    <x v="0"/>
    <n v="3375"/>
    <n v="17624"/>
    <n v="0"/>
    <s v="Y"/>
    <x v="1"/>
    <n v="12"/>
    <n v="3"/>
    <n v="4"/>
    <n v="80"/>
    <n v="0"/>
    <n v="4"/>
    <n v="2"/>
    <n v="4"/>
    <x v="11"/>
    <m/>
    <n v="2"/>
    <n v="1"/>
    <n v="2"/>
  </r>
  <r>
    <n v="35"/>
    <x v="1"/>
    <x v="0"/>
    <n v="1395"/>
    <x v="1"/>
    <n v="9"/>
    <n v="4"/>
    <x v="2"/>
    <n v="1"/>
    <n v="2008"/>
    <n v="2"/>
    <x v="1"/>
    <n v="48"/>
    <n v="3"/>
    <n v="2"/>
    <x v="1"/>
    <n v="3"/>
    <x v="0"/>
    <n v="5098"/>
    <n v="18698"/>
    <n v="1"/>
    <s v="Y"/>
    <x v="1"/>
    <n v="19"/>
    <n v="3"/>
    <n v="2"/>
    <n v="80"/>
    <n v="0"/>
    <n v="10"/>
    <n v="5"/>
    <n v="3"/>
    <x v="1"/>
    <m/>
    <n v="7"/>
    <n v="0"/>
    <n v="8"/>
  </r>
  <r>
    <n v="33"/>
    <x v="1"/>
    <x v="0"/>
    <n v="501"/>
    <x v="1"/>
    <n v="15"/>
    <n v="2"/>
    <x v="2"/>
    <n v="1"/>
    <n v="2009"/>
    <n v="2"/>
    <x v="0"/>
    <n v="95"/>
    <n v="3"/>
    <n v="2"/>
    <x v="4"/>
    <n v="4"/>
    <x v="1"/>
    <n v="4878"/>
    <n v="21653"/>
    <n v="0"/>
    <s v="Y"/>
    <x v="0"/>
    <n v="13"/>
    <n v="3"/>
    <n v="1"/>
    <n v="80"/>
    <n v="1"/>
    <n v="10"/>
    <n v="6"/>
    <n v="3"/>
    <x v="7"/>
    <m/>
    <n v="7"/>
    <n v="8"/>
    <n v="1"/>
  </r>
  <r>
    <n v="32"/>
    <x v="1"/>
    <x v="0"/>
    <n v="267"/>
    <x v="1"/>
    <n v="29"/>
    <n v="4"/>
    <x v="0"/>
    <n v="1"/>
    <n v="2010"/>
    <n v="3"/>
    <x v="0"/>
    <n v="49"/>
    <n v="2"/>
    <n v="1"/>
    <x v="2"/>
    <n v="2"/>
    <x v="0"/>
    <n v="2837"/>
    <n v="15919"/>
    <n v="1"/>
    <s v="Y"/>
    <x v="1"/>
    <n v="13"/>
    <n v="3"/>
    <n v="3"/>
    <n v="80"/>
    <n v="0"/>
    <n v="6"/>
    <n v="3"/>
    <n v="3"/>
    <x v="0"/>
    <m/>
    <n v="2"/>
    <n v="4"/>
    <n v="1"/>
  </r>
  <r>
    <n v="40"/>
    <x v="1"/>
    <x v="0"/>
    <n v="543"/>
    <x v="1"/>
    <n v="1"/>
    <n v="4"/>
    <x v="0"/>
    <n v="1"/>
    <n v="2012"/>
    <n v="1"/>
    <x v="1"/>
    <n v="83"/>
    <n v="3"/>
    <n v="1"/>
    <x v="2"/>
    <n v="4"/>
    <x v="1"/>
    <n v="2406"/>
    <n v="4060"/>
    <n v="8"/>
    <s v="Y"/>
    <x v="1"/>
    <n v="19"/>
    <n v="3"/>
    <n v="3"/>
    <n v="80"/>
    <n v="2"/>
    <n v="8"/>
    <n v="3"/>
    <n v="2"/>
    <x v="6"/>
    <m/>
    <n v="0"/>
    <n v="0"/>
    <n v="0"/>
  </r>
  <r>
    <n v="32"/>
    <x v="1"/>
    <x v="0"/>
    <n v="234"/>
    <x v="0"/>
    <n v="1"/>
    <n v="4"/>
    <x v="2"/>
    <n v="1"/>
    <n v="2013"/>
    <n v="2"/>
    <x v="1"/>
    <n v="68"/>
    <n v="2"/>
    <n v="1"/>
    <x v="6"/>
    <n v="2"/>
    <x v="1"/>
    <n v="2269"/>
    <n v="18024"/>
    <n v="0"/>
    <s v="Y"/>
    <x v="1"/>
    <n v="14"/>
    <n v="3"/>
    <n v="2"/>
    <n v="80"/>
    <n v="1"/>
    <n v="3"/>
    <n v="2"/>
    <n v="3"/>
    <x v="4"/>
    <m/>
    <n v="2"/>
    <n v="2"/>
    <n v="2"/>
  </r>
  <r>
    <n v="39"/>
    <x v="1"/>
    <x v="0"/>
    <n v="116"/>
    <x v="1"/>
    <n v="24"/>
    <n v="1"/>
    <x v="0"/>
    <n v="1"/>
    <n v="2014"/>
    <n v="1"/>
    <x v="1"/>
    <n v="52"/>
    <n v="3"/>
    <n v="2"/>
    <x v="1"/>
    <n v="4"/>
    <x v="0"/>
    <n v="4108"/>
    <n v="5340"/>
    <n v="7"/>
    <s v="Y"/>
    <x v="1"/>
    <n v="13"/>
    <n v="3"/>
    <n v="1"/>
    <n v="80"/>
    <n v="0"/>
    <n v="18"/>
    <n v="2"/>
    <n v="3"/>
    <x v="5"/>
    <m/>
    <n v="7"/>
    <n v="1"/>
    <n v="7"/>
  </r>
  <r>
    <n v="38"/>
    <x v="1"/>
    <x v="0"/>
    <n v="201"/>
    <x v="1"/>
    <n v="10"/>
    <n v="3"/>
    <x v="2"/>
    <n v="1"/>
    <n v="2015"/>
    <n v="2"/>
    <x v="0"/>
    <n v="99"/>
    <n v="1"/>
    <n v="3"/>
    <x v="7"/>
    <n v="3"/>
    <x v="1"/>
    <n v="13206"/>
    <n v="3376"/>
    <n v="3"/>
    <s v="Y"/>
    <x v="1"/>
    <n v="12"/>
    <n v="3"/>
    <n v="1"/>
    <n v="80"/>
    <n v="1"/>
    <n v="20"/>
    <n v="3"/>
    <n v="3"/>
    <x v="29"/>
    <m/>
    <n v="16"/>
    <n v="1"/>
    <n v="11"/>
  </r>
  <r>
    <n v="32"/>
    <x v="1"/>
    <x v="0"/>
    <n v="801"/>
    <x v="0"/>
    <n v="1"/>
    <n v="4"/>
    <x v="3"/>
    <n v="1"/>
    <n v="2016"/>
    <n v="3"/>
    <x v="0"/>
    <n v="48"/>
    <n v="3"/>
    <n v="3"/>
    <x v="0"/>
    <n v="4"/>
    <x v="1"/>
    <n v="10422"/>
    <n v="24032"/>
    <n v="1"/>
    <s v="Y"/>
    <x v="1"/>
    <n v="19"/>
    <n v="3"/>
    <n v="3"/>
    <n v="80"/>
    <n v="2"/>
    <n v="14"/>
    <n v="3"/>
    <n v="3"/>
    <x v="13"/>
    <m/>
    <n v="10"/>
    <n v="5"/>
    <n v="7"/>
  </r>
  <r>
    <n v="37"/>
    <x v="1"/>
    <x v="0"/>
    <n v="161"/>
    <x v="1"/>
    <n v="10"/>
    <n v="3"/>
    <x v="0"/>
    <n v="1"/>
    <n v="2017"/>
    <n v="3"/>
    <x v="0"/>
    <n v="42"/>
    <n v="4"/>
    <n v="3"/>
    <x v="7"/>
    <n v="4"/>
    <x v="1"/>
    <n v="13744"/>
    <n v="15471"/>
    <n v="1"/>
    <s v="Y"/>
    <x v="0"/>
    <n v="25"/>
    <n v="4"/>
    <n v="1"/>
    <n v="80"/>
    <n v="1"/>
    <n v="16"/>
    <n v="2"/>
    <n v="3"/>
    <x v="22"/>
    <m/>
    <n v="11"/>
    <n v="6"/>
    <n v="8"/>
  </r>
  <r>
    <n v="25"/>
    <x v="1"/>
    <x v="0"/>
    <n v="1382"/>
    <x v="0"/>
    <n v="8"/>
    <n v="2"/>
    <x v="1"/>
    <n v="1"/>
    <n v="2018"/>
    <n v="1"/>
    <x v="0"/>
    <n v="85"/>
    <n v="3"/>
    <n v="2"/>
    <x v="0"/>
    <n v="3"/>
    <x v="2"/>
    <n v="4907"/>
    <n v="13684"/>
    <n v="0"/>
    <s v="Y"/>
    <x v="0"/>
    <n v="22"/>
    <n v="4"/>
    <n v="2"/>
    <n v="80"/>
    <n v="1"/>
    <n v="6"/>
    <n v="3"/>
    <n v="2"/>
    <x v="8"/>
    <m/>
    <n v="3"/>
    <n v="0"/>
    <n v="4"/>
  </r>
  <r>
    <n v="52"/>
    <x v="1"/>
    <x v="2"/>
    <n v="585"/>
    <x v="0"/>
    <n v="29"/>
    <n v="4"/>
    <x v="0"/>
    <n v="1"/>
    <n v="2019"/>
    <n v="1"/>
    <x v="1"/>
    <n v="40"/>
    <n v="3"/>
    <n v="1"/>
    <x v="6"/>
    <n v="4"/>
    <x v="2"/>
    <n v="3482"/>
    <n v="19788"/>
    <n v="2"/>
    <s v="Y"/>
    <x v="1"/>
    <n v="15"/>
    <n v="3"/>
    <n v="2"/>
    <n v="80"/>
    <n v="2"/>
    <n v="16"/>
    <n v="3"/>
    <n v="2"/>
    <x v="7"/>
    <m/>
    <n v="8"/>
    <n v="0"/>
    <n v="0"/>
  </r>
  <r>
    <n v="44"/>
    <x v="1"/>
    <x v="0"/>
    <n v="1037"/>
    <x v="1"/>
    <n v="1"/>
    <n v="3"/>
    <x v="2"/>
    <n v="1"/>
    <n v="2020"/>
    <n v="2"/>
    <x v="1"/>
    <n v="42"/>
    <n v="3"/>
    <n v="1"/>
    <x v="1"/>
    <n v="4"/>
    <x v="0"/>
    <n v="2436"/>
    <n v="13422"/>
    <n v="6"/>
    <s v="Y"/>
    <x v="0"/>
    <n v="12"/>
    <n v="3"/>
    <n v="3"/>
    <n v="80"/>
    <n v="0"/>
    <n v="6"/>
    <n v="2"/>
    <n v="3"/>
    <x v="9"/>
    <m/>
    <n v="3"/>
    <n v="1"/>
    <n v="2"/>
  </r>
  <r>
    <n v="21"/>
    <x v="1"/>
    <x v="0"/>
    <n v="501"/>
    <x v="0"/>
    <n v="5"/>
    <n v="1"/>
    <x v="2"/>
    <n v="1"/>
    <n v="2021"/>
    <n v="3"/>
    <x v="1"/>
    <n v="58"/>
    <n v="3"/>
    <n v="1"/>
    <x v="6"/>
    <n v="1"/>
    <x v="0"/>
    <n v="2380"/>
    <n v="25479"/>
    <n v="1"/>
    <s v="Y"/>
    <x v="0"/>
    <n v="11"/>
    <n v="3"/>
    <n v="4"/>
    <n v="80"/>
    <n v="0"/>
    <n v="2"/>
    <n v="6"/>
    <n v="3"/>
    <x v="4"/>
    <m/>
    <n v="2"/>
    <n v="1"/>
    <n v="2"/>
  </r>
  <r>
    <n v="39"/>
    <x v="1"/>
    <x v="2"/>
    <n v="105"/>
    <x v="1"/>
    <n v="9"/>
    <n v="3"/>
    <x v="0"/>
    <n v="1"/>
    <n v="2022"/>
    <n v="4"/>
    <x v="1"/>
    <n v="87"/>
    <n v="3"/>
    <n v="5"/>
    <x v="5"/>
    <n v="4"/>
    <x v="0"/>
    <n v="19431"/>
    <n v="15302"/>
    <n v="2"/>
    <s v="Y"/>
    <x v="1"/>
    <n v="13"/>
    <n v="3"/>
    <n v="3"/>
    <n v="80"/>
    <n v="0"/>
    <n v="21"/>
    <n v="3"/>
    <n v="2"/>
    <x v="0"/>
    <m/>
    <n v="0"/>
    <n v="1"/>
    <n v="3"/>
  </r>
  <r>
    <n v="23"/>
    <x v="0"/>
    <x v="1"/>
    <n v="638"/>
    <x v="0"/>
    <n v="9"/>
    <n v="3"/>
    <x v="3"/>
    <n v="1"/>
    <n v="2023"/>
    <n v="4"/>
    <x v="1"/>
    <n v="33"/>
    <n v="3"/>
    <n v="1"/>
    <x v="6"/>
    <n v="1"/>
    <x v="1"/>
    <n v="1790"/>
    <n v="26956"/>
    <n v="1"/>
    <s v="Y"/>
    <x v="1"/>
    <n v="19"/>
    <n v="3"/>
    <n v="1"/>
    <n v="80"/>
    <n v="1"/>
    <n v="1"/>
    <n v="3"/>
    <n v="2"/>
    <x v="6"/>
    <m/>
    <n v="0"/>
    <n v="1"/>
    <n v="0"/>
  </r>
  <r>
    <n v="36"/>
    <x v="1"/>
    <x v="0"/>
    <n v="557"/>
    <x v="0"/>
    <n v="3"/>
    <n v="3"/>
    <x v="2"/>
    <n v="1"/>
    <n v="2024"/>
    <n v="1"/>
    <x v="0"/>
    <n v="94"/>
    <n v="2"/>
    <n v="3"/>
    <x v="0"/>
    <n v="4"/>
    <x v="1"/>
    <n v="7644"/>
    <n v="12695"/>
    <n v="0"/>
    <s v="Y"/>
    <x v="1"/>
    <n v="19"/>
    <n v="3"/>
    <n v="3"/>
    <n v="80"/>
    <n v="2"/>
    <n v="10"/>
    <n v="2"/>
    <n v="3"/>
    <x v="7"/>
    <m/>
    <n v="7"/>
    <n v="3"/>
    <n v="4"/>
  </r>
  <r>
    <n v="36"/>
    <x v="1"/>
    <x v="1"/>
    <n v="688"/>
    <x v="1"/>
    <n v="4"/>
    <n v="2"/>
    <x v="0"/>
    <n v="1"/>
    <n v="2025"/>
    <n v="4"/>
    <x v="0"/>
    <n v="97"/>
    <n v="3"/>
    <n v="2"/>
    <x v="3"/>
    <n v="2"/>
    <x v="2"/>
    <n v="5131"/>
    <n v="9192"/>
    <n v="7"/>
    <s v="Y"/>
    <x v="1"/>
    <n v="13"/>
    <n v="3"/>
    <n v="2"/>
    <n v="80"/>
    <n v="3"/>
    <n v="18"/>
    <n v="3"/>
    <n v="3"/>
    <x v="9"/>
    <m/>
    <n v="2"/>
    <n v="0"/>
    <n v="2"/>
  </r>
  <r>
    <n v="56"/>
    <x v="1"/>
    <x v="2"/>
    <n v="667"/>
    <x v="1"/>
    <n v="1"/>
    <n v="4"/>
    <x v="0"/>
    <n v="1"/>
    <n v="2026"/>
    <n v="3"/>
    <x v="1"/>
    <n v="57"/>
    <n v="3"/>
    <n v="2"/>
    <x v="4"/>
    <n v="3"/>
    <x v="2"/>
    <n v="6306"/>
    <n v="26236"/>
    <n v="1"/>
    <s v="Y"/>
    <x v="1"/>
    <n v="21"/>
    <n v="4"/>
    <n v="1"/>
    <n v="80"/>
    <n v="1"/>
    <n v="13"/>
    <n v="2"/>
    <n v="2"/>
    <x v="20"/>
    <m/>
    <n v="12"/>
    <n v="1"/>
    <n v="9"/>
  </r>
  <r>
    <n v="29"/>
    <x v="0"/>
    <x v="0"/>
    <n v="1092"/>
    <x v="1"/>
    <n v="1"/>
    <n v="4"/>
    <x v="2"/>
    <n v="1"/>
    <n v="2027"/>
    <n v="1"/>
    <x v="1"/>
    <n v="36"/>
    <n v="3"/>
    <n v="1"/>
    <x v="1"/>
    <n v="4"/>
    <x v="1"/>
    <n v="4787"/>
    <n v="26124"/>
    <n v="9"/>
    <s v="Y"/>
    <x v="0"/>
    <n v="14"/>
    <n v="3"/>
    <n v="2"/>
    <n v="80"/>
    <n v="3"/>
    <n v="4"/>
    <n v="3"/>
    <n v="4"/>
    <x v="4"/>
    <m/>
    <n v="2"/>
    <n v="2"/>
    <n v="2"/>
  </r>
  <r>
    <n v="42"/>
    <x v="1"/>
    <x v="0"/>
    <n v="300"/>
    <x v="1"/>
    <n v="2"/>
    <n v="3"/>
    <x v="0"/>
    <n v="1"/>
    <n v="2031"/>
    <n v="1"/>
    <x v="1"/>
    <n v="56"/>
    <n v="3"/>
    <n v="5"/>
    <x v="5"/>
    <n v="3"/>
    <x v="1"/>
    <n v="18880"/>
    <n v="17312"/>
    <n v="5"/>
    <s v="Y"/>
    <x v="1"/>
    <n v="11"/>
    <n v="3"/>
    <n v="1"/>
    <n v="80"/>
    <n v="0"/>
    <n v="24"/>
    <n v="2"/>
    <n v="2"/>
    <x v="14"/>
    <m/>
    <n v="6"/>
    <n v="4"/>
    <n v="14"/>
  </r>
  <r>
    <n v="56"/>
    <x v="0"/>
    <x v="0"/>
    <n v="310"/>
    <x v="1"/>
    <n v="7"/>
    <n v="2"/>
    <x v="4"/>
    <n v="1"/>
    <n v="2032"/>
    <n v="4"/>
    <x v="1"/>
    <n v="72"/>
    <n v="3"/>
    <n v="1"/>
    <x v="2"/>
    <n v="3"/>
    <x v="1"/>
    <n v="2339"/>
    <n v="3666"/>
    <n v="8"/>
    <s v="Y"/>
    <x v="1"/>
    <n v="11"/>
    <n v="3"/>
    <n v="4"/>
    <n v="80"/>
    <n v="1"/>
    <n v="14"/>
    <n v="4"/>
    <n v="1"/>
    <x v="1"/>
    <m/>
    <n v="9"/>
    <n v="9"/>
    <n v="8"/>
  </r>
  <r>
    <n v="41"/>
    <x v="1"/>
    <x v="0"/>
    <n v="582"/>
    <x v="1"/>
    <n v="28"/>
    <n v="4"/>
    <x v="0"/>
    <n v="1"/>
    <n v="2034"/>
    <n v="1"/>
    <x v="0"/>
    <n v="60"/>
    <n v="2"/>
    <n v="4"/>
    <x v="3"/>
    <n v="2"/>
    <x v="1"/>
    <n v="13570"/>
    <n v="5640"/>
    <n v="0"/>
    <s v="Y"/>
    <x v="1"/>
    <n v="23"/>
    <n v="4"/>
    <n v="3"/>
    <n v="80"/>
    <n v="1"/>
    <n v="21"/>
    <n v="3"/>
    <n v="3"/>
    <x v="23"/>
    <m/>
    <n v="7"/>
    <n v="0"/>
    <n v="10"/>
  </r>
  <r>
    <n v="34"/>
    <x v="1"/>
    <x v="0"/>
    <n v="704"/>
    <x v="0"/>
    <n v="28"/>
    <n v="3"/>
    <x v="3"/>
    <n v="1"/>
    <n v="2035"/>
    <n v="4"/>
    <x v="0"/>
    <n v="95"/>
    <n v="2"/>
    <n v="2"/>
    <x v="0"/>
    <n v="3"/>
    <x v="1"/>
    <n v="6712"/>
    <n v="8978"/>
    <n v="1"/>
    <s v="Y"/>
    <x v="1"/>
    <n v="21"/>
    <n v="4"/>
    <n v="4"/>
    <n v="80"/>
    <n v="2"/>
    <n v="8"/>
    <n v="2"/>
    <n v="3"/>
    <x v="3"/>
    <m/>
    <n v="7"/>
    <n v="1"/>
    <n v="7"/>
  </r>
  <r>
    <n v="36"/>
    <x v="1"/>
    <x v="2"/>
    <n v="301"/>
    <x v="0"/>
    <n v="15"/>
    <n v="4"/>
    <x v="3"/>
    <n v="1"/>
    <n v="2036"/>
    <n v="4"/>
    <x v="1"/>
    <n v="88"/>
    <n v="1"/>
    <n v="2"/>
    <x v="0"/>
    <n v="4"/>
    <x v="2"/>
    <n v="5406"/>
    <n v="10436"/>
    <n v="1"/>
    <s v="Y"/>
    <x v="1"/>
    <n v="24"/>
    <n v="4"/>
    <n v="1"/>
    <n v="80"/>
    <n v="1"/>
    <n v="15"/>
    <n v="4"/>
    <n v="2"/>
    <x v="15"/>
    <m/>
    <n v="12"/>
    <n v="11"/>
    <n v="11"/>
  </r>
  <r>
    <n v="41"/>
    <x v="1"/>
    <x v="0"/>
    <n v="930"/>
    <x v="0"/>
    <n v="3"/>
    <n v="3"/>
    <x v="0"/>
    <n v="1"/>
    <n v="2037"/>
    <n v="3"/>
    <x v="1"/>
    <n v="57"/>
    <n v="2"/>
    <n v="2"/>
    <x v="0"/>
    <n v="2"/>
    <x v="2"/>
    <n v="8938"/>
    <n v="12227"/>
    <n v="2"/>
    <s v="Y"/>
    <x v="1"/>
    <n v="11"/>
    <n v="3"/>
    <n v="3"/>
    <n v="80"/>
    <n v="1"/>
    <n v="14"/>
    <n v="5"/>
    <n v="3"/>
    <x v="8"/>
    <m/>
    <n v="4"/>
    <n v="0"/>
    <n v="4"/>
  </r>
  <r>
    <n v="32"/>
    <x v="1"/>
    <x v="0"/>
    <n v="529"/>
    <x v="1"/>
    <n v="2"/>
    <n v="3"/>
    <x v="4"/>
    <n v="1"/>
    <n v="2038"/>
    <n v="4"/>
    <x v="1"/>
    <n v="78"/>
    <n v="3"/>
    <n v="1"/>
    <x v="1"/>
    <n v="1"/>
    <x v="0"/>
    <n v="2439"/>
    <n v="11288"/>
    <n v="1"/>
    <s v="Y"/>
    <x v="1"/>
    <n v="14"/>
    <n v="3"/>
    <n v="4"/>
    <n v="80"/>
    <n v="0"/>
    <n v="4"/>
    <n v="4"/>
    <n v="3"/>
    <x v="9"/>
    <m/>
    <n v="2"/>
    <n v="1"/>
    <n v="2"/>
  </r>
  <r>
    <n v="35"/>
    <x v="1"/>
    <x v="0"/>
    <n v="1146"/>
    <x v="2"/>
    <n v="26"/>
    <n v="4"/>
    <x v="0"/>
    <n v="1"/>
    <n v="2040"/>
    <n v="3"/>
    <x v="0"/>
    <n v="31"/>
    <n v="3"/>
    <n v="3"/>
    <x v="8"/>
    <n v="4"/>
    <x v="0"/>
    <n v="8837"/>
    <n v="16642"/>
    <n v="1"/>
    <s v="Y"/>
    <x v="0"/>
    <n v="16"/>
    <n v="3"/>
    <n v="3"/>
    <n v="80"/>
    <n v="0"/>
    <n v="9"/>
    <n v="2"/>
    <n v="3"/>
    <x v="7"/>
    <m/>
    <n v="0"/>
    <n v="1"/>
    <n v="7"/>
  </r>
  <r>
    <n v="38"/>
    <x v="1"/>
    <x v="0"/>
    <n v="345"/>
    <x v="0"/>
    <n v="10"/>
    <n v="2"/>
    <x v="0"/>
    <n v="1"/>
    <n v="2041"/>
    <n v="1"/>
    <x v="0"/>
    <n v="100"/>
    <n v="3"/>
    <n v="2"/>
    <x v="0"/>
    <n v="4"/>
    <x v="1"/>
    <n v="5343"/>
    <n v="5982"/>
    <n v="1"/>
    <s v="Y"/>
    <x v="1"/>
    <n v="11"/>
    <n v="3"/>
    <n v="3"/>
    <n v="80"/>
    <n v="1"/>
    <n v="10"/>
    <n v="1"/>
    <n v="3"/>
    <x v="1"/>
    <m/>
    <n v="7"/>
    <n v="1"/>
    <n v="9"/>
  </r>
  <r>
    <n v="50"/>
    <x v="0"/>
    <x v="1"/>
    <n v="878"/>
    <x v="0"/>
    <n v="1"/>
    <n v="4"/>
    <x v="0"/>
    <n v="1"/>
    <n v="2044"/>
    <n v="2"/>
    <x v="1"/>
    <n v="94"/>
    <n v="3"/>
    <n v="2"/>
    <x v="0"/>
    <n v="3"/>
    <x v="2"/>
    <n v="6728"/>
    <n v="14255"/>
    <n v="7"/>
    <s v="Y"/>
    <x v="1"/>
    <n v="12"/>
    <n v="3"/>
    <n v="4"/>
    <n v="80"/>
    <n v="2"/>
    <n v="12"/>
    <n v="3"/>
    <n v="3"/>
    <x v="0"/>
    <m/>
    <n v="3"/>
    <n v="0"/>
    <n v="1"/>
  </r>
  <r>
    <n v="36"/>
    <x v="1"/>
    <x v="0"/>
    <n v="1120"/>
    <x v="0"/>
    <n v="11"/>
    <n v="4"/>
    <x v="3"/>
    <n v="1"/>
    <n v="2045"/>
    <n v="2"/>
    <x v="0"/>
    <n v="100"/>
    <n v="2"/>
    <n v="2"/>
    <x v="0"/>
    <n v="4"/>
    <x v="1"/>
    <n v="6652"/>
    <n v="14369"/>
    <n v="4"/>
    <s v="Y"/>
    <x v="1"/>
    <n v="13"/>
    <n v="3"/>
    <n v="1"/>
    <n v="80"/>
    <n v="1"/>
    <n v="8"/>
    <n v="2"/>
    <n v="2"/>
    <x v="0"/>
    <m/>
    <n v="3"/>
    <n v="0"/>
    <n v="0"/>
  </r>
  <r>
    <n v="45"/>
    <x v="1"/>
    <x v="0"/>
    <n v="374"/>
    <x v="0"/>
    <n v="20"/>
    <n v="3"/>
    <x v="0"/>
    <n v="1"/>
    <n v="2046"/>
    <n v="4"/>
    <x v="0"/>
    <n v="50"/>
    <n v="3"/>
    <n v="2"/>
    <x v="0"/>
    <n v="3"/>
    <x v="0"/>
    <n v="4850"/>
    <n v="23333"/>
    <n v="8"/>
    <s v="Y"/>
    <x v="1"/>
    <n v="15"/>
    <n v="3"/>
    <n v="3"/>
    <n v="80"/>
    <n v="0"/>
    <n v="8"/>
    <n v="3"/>
    <n v="3"/>
    <x v="8"/>
    <m/>
    <n v="3"/>
    <n v="0"/>
    <n v="1"/>
  </r>
  <r>
    <n v="40"/>
    <x v="1"/>
    <x v="0"/>
    <n v="1322"/>
    <x v="1"/>
    <n v="2"/>
    <n v="4"/>
    <x v="0"/>
    <n v="1"/>
    <n v="2048"/>
    <n v="3"/>
    <x v="1"/>
    <n v="52"/>
    <n v="2"/>
    <n v="1"/>
    <x v="1"/>
    <n v="3"/>
    <x v="0"/>
    <n v="2809"/>
    <n v="2725"/>
    <n v="2"/>
    <s v="Y"/>
    <x v="1"/>
    <n v="14"/>
    <n v="3"/>
    <n v="4"/>
    <n v="80"/>
    <n v="0"/>
    <n v="8"/>
    <n v="2"/>
    <n v="3"/>
    <x v="4"/>
    <m/>
    <n v="2"/>
    <n v="2"/>
    <n v="2"/>
  </r>
  <r>
    <n v="35"/>
    <x v="1"/>
    <x v="1"/>
    <n v="1199"/>
    <x v="1"/>
    <n v="18"/>
    <n v="4"/>
    <x v="0"/>
    <n v="1"/>
    <n v="2049"/>
    <n v="3"/>
    <x v="1"/>
    <n v="80"/>
    <n v="3"/>
    <n v="2"/>
    <x v="4"/>
    <n v="3"/>
    <x v="1"/>
    <n v="5689"/>
    <n v="24594"/>
    <n v="1"/>
    <s v="Y"/>
    <x v="0"/>
    <n v="14"/>
    <n v="3"/>
    <n v="4"/>
    <n v="80"/>
    <n v="2"/>
    <n v="10"/>
    <n v="2"/>
    <n v="4"/>
    <x v="1"/>
    <m/>
    <n v="2"/>
    <n v="0"/>
    <n v="2"/>
  </r>
  <r>
    <n v="40"/>
    <x v="1"/>
    <x v="0"/>
    <n v="1194"/>
    <x v="1"/>
    <n v="2"/>
    <n v="4"/>
    <x v="2"/>
    <n v="1"/>
    <n v="2051"/>
    <n v="3"/>
    <x v="0"/>
    <n v="98"/>
    <n v="3"/>
    <n v="1"/>
    <x v="1"/>
    <n v="3"/>
    <x v="1"/>
    <n v="2001"/>
    <n v="12549"/>
    <n v="2"/>
    <s v="Y"/>
    <x v="1"/>
    <n v="14"/>
    <n v="3"/>
    <n v="2"/>
    <n v="80"/>
    <n v="3"/>
    <n v="20"/>
    <n v="2"/>
    <n v="3"/>
    <x v="8"/>
    <m/>
    <n v="3"/>
    <n v="0"/>
    <n v="2"/>
  </r>
  <r>
    <n v="35"/>
    <x v="1"/>
    <x v="0"/>
    <n v="287"/>
    <x v="1"/>
    <n v="1"/>
    <n v="4"/>
    <x v="0"/>
    <n v="1"/>
    <n v="2052"/>
    <n v="3"/>
    <x v="0"/>
    <n v="62"/>
    <n v="1"/>
    <n v="1"/>
    <x v="1"/>
    <n v="4"/>
    <x v="1"/>
    <n v="2977"/>
    <n v="8952"/>
    <n v="1"/>
    <s v="Y"/>
    <x v="1"/>
    <n v="12"/>
    <n v="3"/>
    <n v="4"/>
    <n v="80"/>
    <n v="1"/>
    <n v="4"/>
    <n v="5"/>
    <n v="3"/>
    <x v="9"/>
    <m/>
    <n v="3"/>
    <n v="1"/>
    <n v="1"/>
  </r>
  <r>
    <n v="29"/>
    <x v="1"/>
    <x v="0"/>
    <n v="1378"/>
    <x v="1"/>
    <n v="13"/>
    <n v="2"/>
    <x v="1"/>
    <n v="1"/>
    <n v="2053"/>
    <n v="4"/>
    <x v="1"/>
    <n v="46"/>
    <n v="2"/>
    <n v="2"/>
    <x v="2"/>
    <n v="2"/>
    <x v="1"/>
    <n v="4025"/>
    <n v="23679"/>
    <n v="4"/>
    <s v="Y"/>
    <x v="0"/>
    <n v="13"/>
    <n v="3"/>
    <n v="1"/>
    <n v="80"/>
    <n v="1"/>
    <n v="10"/>
    <n v="2"/>
    <n v="3"/>
    <x v="9"/>
    <m/>
    <n v="3"/>
    <n v="0"/>
    <n v="3"/>
  </r>
  <r>
    <n v="29"/>
    <x v="1"/>
    <x v="0"/>
    <n v="468"/>
    <x v="1"/>
    <n v="28"/>
    <n v="4"/>
    <x v="2"/>
    <n v="1"/>
    <n v="2054"/>
    <n v="4"/>
    <x v="0"/>
    <n v="73"/>
    <n v="2"/>
    <n v="1"/>
    <x v="1"/>
    <n v="1"/>
    <x v="0"/>
    <n v="3785"/>
    <n v="8489"/>
    <n v="1"/>
    <s v="Y"/>
    <x v="1"/>
    <n v="14"/>
    <n v="3"/>
    <n v="2"/>
    <n v="80"/>
    <n v="0"/>
    <n v="5"/>
    <n v="3"/>
    <n v="1"/>
    <x v="8"/>
    <m/>
    <n v="4"/>
    <n v="0"/>
    <n v="4"/>
  </r>
  <r>
    <n v="50"/>
    <x v="0"/>
    <x v="0"/>
    <n v="410"/>
    <x v="0"/>
    <n v="28"/>
    <n v="3"/>
    <x v="3"/>
    <n v="1"/>
    <n v="2055"/>
    <n v="4"/>
    <x v="1"/>
    <n v="39"/>
    <n v="2"/>
    <n v="3"/>
    <x v="0"/>
    <n v="1"/>
    <x v="2"/>
    <n v="10854"/>
    <n v="16586"/>
    <n v="4"/>
    <s v="Y"/>
    <x v="0"/>
    <n v="13"/>
    <n v="3"/>
    <n v="2"/>
    <n v="80"/>
    <n v="1"/>
    <n v="20"/>
    <n v="3"/>
    <n v="3"/>
    <x v="11"/>
    <m/>
    <n v="2"/>
    <n v="2"/>
    <n v="0"/>
  </r>
  <r>
    <n v="39"/>
    <x v="1"/>
    <x v="0"/>
    <n v="722"/>
    <x v="0"/>
    <n v="24"/>
    <n v="1"/>
    <x v="3"/>
    <n v="1"/>
    <n v="2056"/>
    <n v="2"/>
    <x v="0"/>
    <n v="60"/>
    <n v="2"/>
    <n v="4"/>
    <x v="0"/>
    <n v="4"/>
    <x v="1"/>
    <n v="12031"/>
    <n v="8828"/>
    <n v="0"/>
    <s v="Y"/>
    <x v="1"/>
    <n v="11"/>
    <n v="3"/>
    <n v="1"/>
    <n v="80"/>
    <n v="1"/>
    <n v="21"/>
    <n v="2"/>
    <n v="2"/>
    <x v="23"/>
    <m/>
    <n v="9"/>
    <n v="9"/>
    <n v="6"/>
  </r>
  <r>
    <n v="31"/>
    <x v="1"/>
    <x v="2"/>
    <n v="325"/>
    <x v="1"/>
    <n v="5"/>
    <n v="3"/>
    <x v="2"/>
    <n v="1"/>
    <n v="2057"/>
    <n v="2"/>
    <x v="1"/>
    <n v="74"/>
    <n v="3"/>
    <n v="2"/>
    <x v="3"/>
    <n v="1"/>
    <x v="0"/>
    <n v="9936"/>
    <n v="3787"/>
    <n v="0"/>
    <s v="Y"/>
    <x v="1"/>
    <n v="19"/>
    <n v="3"/>
    <n v="2"/>
    <n v="80"/>
    <n v="0"/>
    <n v="10"/>
    <n v="2"/>
    <n v="3"/>
    <x v="7"/>
    <m/>
    <n v="4"/>
    <n v="1"/>
    <n v="7"/>
  </r>
  <r>
    <n v="26"/>
    <x v="1"/>
    <x v="0"/>
    <n v="1167"/>
    <x v="0"/>
    <n v="5"/>
    <n v="3"/>
    <x v="1"/>
    <n v="1"/>
    <n v="2060"/>
    <n v="4"/>
    <x v="0"/>
    <n v="30"/>
    <n v="2"/>
    <n v="1"/>
    <x v="6"/>
    <n v="3"/>
    <x v="0"/>
    <n v="2966"/>
    <n v="21378"/>
    <n v="0"/>
    <s v="Y"/>
    <x v="1"/>
    <n v="18"/>
    <n v="3"/>
    <n v="4"/>
    <n v="80"/>
    <n v="0"/>
    <n v="5"/>
    <n v="2"/>
    <n v="3"/>
    <x v="9"/>
    <m/>
    <n v="2"/>
    <n v="0"/>
    <n v="0"/>
  </r>
  <r>
    <n v="36"/>
    <x v="1"/>
    <x v="1"/>
    <n v="884"/>
    <x v="1"/>
    <n v="23"/>
    <n v="2"/>
    <x v="2"/>
    <n v="1"/>
    <n v="2061"/>
    <n v="3"/>
    <x v="1"/>
    <n v="41"/>
    <n v="4"/>
    <n v="2"/>
    <x v="2"/>
    <n v="4"/>
    <x v="1"/>
    <n v="2571"/>
    <n v="12290"/>
    <n v="4"/>
    <s v="Y"/>
    <x v="1"/>
    <n v="17"/>
    <n v="3"/>
    <n v="3"/>
    <n v="80"/>
    <n v="1"/>
    <n v="17"/>
    <n v="3"/>
    <n v="3"/>
    <x v="8"/>
    <m/>
    <n v="2"/>
    <n v="0"/>
    <n v="3"/>
  </r>
  <r>
    <n v="39"/>
    <x v="1"/>
    <x v="0"/>
    <n v="613"/>
    <x v="1"/>
    <n v="6"/>
    <n v="1"/>
    <x v="2"/>
    <n v="1"/>
    <n v="2062"/>
    <n v="4"/>
    <x v="1"/>
    <n v="42"/>
    <n v="2"/>
    <n v="3"/>
    <x v="4"/>
    <n v="1"/>
    <x v="1"/>
    <n v="9991"/>
    <n v="21457"/>
    <n v="4"/>
    <s v="Y"/>
    <x v="1"/>
    <n v="15"/>
    <n v="3"/>
    <n v="1"/>
    <n v="80"/>
    <n v="1"/>
    <n v="9"/>
    <n v="5"/>
    <n v="3"/>
    <x v="5"/>
    <m/>
    <n v="7"/>
    <n v="1"/>
    <n v="7"/>
  </r>
  <r>
    <n v="27"/>
    <x v="1"/>
    <x v="0"/>
    <n v="155"/>
    <x v="1"/>
    <n v="4"/>
    <n v="3"/>
    <x v="0"/>
    <n v="1"/>
    <n v="2064"/>
    <n v="2"/>
    <x v="1"/>
    <n v="87"/>
    <n v="4"/>
    <n v="2"/>
    <x v="3"/>
    <n v="2"/>
    <x v="1"/>
    <n v="6142"/>
    <n v="5174"/>
    <n v="1"/>
    <s v="Y"/>
    <x v="0"/>
    <n v="20"/>
    <n v="4"/>
    <n v="2"/>
    <n v="80"/>
    <n v="1"/>
    <n v="6"/>
    <n v="0"/>
    <n v="3"/>
    <x v="0"/>
    <m/>
    <n v="2"/>
    <n v="0"/>
    <n v="3"/>
  </r>
  <r>
    <n v="49"/>
    <x v="1"/>
    <x v="1"/>
    <n v="1023"/>
    <x v="0"/>
    <n v="2"/>
    <n v="3"/>
    <x v="2"/>
    <n v="1"/>
    <n v="2065"/>
    <n v="4"/>
    <x v="1"/>
    <n v="63"/>
    <n v="2"/>
    <n v="2"/>
    <x v="0"/>
    <n v="2"/>
    <x v="1"/>
    <n v="5390"/>
    <n v="13243"/>
    <n v="2"/>
    <s v="Y"/>
    <x v="1"/>
    <n v="14"/>
    <n v="3"/>
    <n v="4"/>
    <n v="80"/>
    <n v="0"/>
    <n v="17"/>
    <n v="3"/>
    <n v="2"/>
    <x v="7"/>
    <m/>
    <n v="6"/>
    <n v="0"/>
    <n v="8"/>
  </r>
  <r>
    <n v="34"/>
    <x v="1"/>
    <x v="0"/>
    <n v="628"/>
    <x v="1"/>
    <n v="8"/>
    <n v="3"/>
    <x v="2"/>
    <n v="1"/>
    <n v="2068"/>
    <n v="2"/>
    <x v="1"/>
    <n v="82"/>
    <n v="4"/>
    <n v="2"/>
    <x v="2"/>
    <n v="3"/>
    <x v="1"/>
    <n v="4404"/>
    <n v="10228"/>
    <n v="2"/>
    <s v="Y"/>
    <x v="1"/>
    <n v="12"/>
    <n v="3"/>
    <n v="1"/>
    <n v="80"/>
    <n v="0"/>
    <n v="6"/>
    <n v="3"/>
    <n v="4"/>
    <x v="9"/>
    <m/>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4E5ED-86A0-4B31-A8B3-ABAC34E4CB2F}"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102:B105" firstHeaderRow="1" firstDataRow="1"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YearsAtCompany" fld="31" subtotal="average" baseField="1" baseItem="0" numFmtId="1"/>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8CF8B0-8D6E-4AAD-95CA-715327B7397D}"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95:B98" firstHeaderRow="1" firstDataRow="1" firstDataCol="1"/>
  <pivotFields count="36">
    <pivotField dataField="1"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Age" fld="0" subtotal="average" baseField="1"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FEE0DC-04B1-4EB4-AFE5-8C44B1281321}"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88:B91" firstHeaderRow="1" firstDataRow="1"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8D8F9D-17C1-43C2-AE09-2968AEC0B435}"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s at Company" colHeaderCaption="Attrition">
  <location ref="A80:AM84" firstHeaderRow="1" firstDataRow="2"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Col"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Fields count="1">
    <field x="31"/>
  </colFields>
  <col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colItems>
  <dataFields count="1">
    <dataField name="Count of EmployeeNumber" fld="9" subtotal="count" baseField="1" baseItem="0"/>
  </dataFields>
  <chartFormats count="74">
    <chartFormat chart="0" format="0" series="1">
      <pivotArea type="data" outline="0" fieldPosition="0">
        <references count="2">
          <reference field="4294967294" count="1" selected="0">
            <x v="0"/>
          </reference>
          <reference field="31" count="1" selected="0">
            <x v="0"/>
          </reference>
        </references>
      </pivotArea>
    </chartFormat>
    <chartFormat chart="0" format="1" series="1">
      <pivotArea type="data" outline="0" fieldPosition="0">
        <references count="2">
          <reference field="4294967294" count="1" selected="0">
            <x v="0"/>
          </reference>
          <reference field="31" count="1" selected="0">
            <x v="1"/>
          </reference>
        </references>
      </pivotArea>
    </chartFormat>
    <chartFormat chart="0" format="2" series="1">
      <pivotArea type="data" outline="0" fieldPosition="0">
        <references count="2">
          <reference field="4294967294" count="1" selected="0">
            <x v="0"/>
          </reference>
          <reference field="31" count="1" selected="0">
            <x v="2"/>
          </reference>
        </references>
      </pivotArea>
    </chartFormat>
    <chartFormat chart="0" format="3" series="1">
      <pivotArea type="data" outline="0" fieldPosition="0">
        <references count="2">
          <reference field="4294967294" count="1" selected="0">
            <x v="0"/>
          </reference>
          <reference field="31" count="1" selected="0">
            <x v="3"/>
          </reference>
        </references>
      </pivotArea>
    </chartFormat>
    <chartFormat chart="0" format="4" series="1">
      <pivotArea type="data" outline="0" fieldPosition="0">
        <references count="2">
          <reference field="4294967294" count="1" selected="0">
            <x v="0"/>
          </reference>
          <reference field="31" count="1" selected="0">
            <x v="4"/>
          </reference>
        </references>
      </pivotArea>
    </chartFormat>
    <chartFormat chart="0" format="5" series="1">
      <pivotArea type="data" outline="0" fieldPosition="0">
        <references count="2">
          <reference field="4294967294" count="1" selected="0">
            <x v="0"/>
          </reference>
          <reference field="31" count="1" selected="0">
            <x v="5"/>
          </reference>
        </references>
      </pivotArea>
    </chartFormat>
    <chartFormat chart="0" format="6" series="1">
      <pivotArea type="data" outline="0" fieldPosition="0">
        <references count="2">
          <reference field="4294967294" count="1" selected="0">
            <x v="0"/>
          </reference>
          <reference field="31" count="1" selected="0">
            <x v="6"/>
          </reference>
        </references>
      </pivotArea>
    </chartFormat>
    <chartFormat chart="0" format="7" series="1">
      <pivotArea type="data" outline="0" fieldPosition="0">
        <references count="2">
          <reference field="4294967294" count="1" selected="0">
            <x v="0"/>
          </reference>
          <reference field="31" count="1" selected="0">
            <x v="7"/>
          </reference>
        </references>
      </pivotArea>
    </chartFormat>
    <chartFormat chart="0" format="8" series="1">
      <pivotArea type="data" outline="0" fieldPosition="0">
        <references count="2">
          <reference field="4294967294" count="1" selected="0">
            <x v="0"/>
          </reference>
          <reference field="31" count="1" selected="0">
            <x v="8"/>
          </reference>
        </references>
      </pivotArea>
    </chartFormat>
    <chartFormat chart="0" format="9" series="1">
      <pivotArea type="data" outline="0" fieldPosition="0">
        <references count="2">
          <reference field="4294967294" count="1" selected="0">
            <x v="0"/>
          </reference>
          <reference field="31" count="1" selected="0">
            <x v="9"/>
          </reference>
        </references>
      </pivotArea>
    </chartFormat>
    <chartFormat chart="0" format="10" series="1">
      <pivotArea type="data" outline="0" fieldPosition="0">
        <references count="2">
          <reference field="4294967294" count="1" selected="0">
            <x v="0"/>
          </reference>
          <reference field="31" count="1" selected="0">
            <x v="10"/>
          </reference>
        </references>
      </pivotArea>
    </chartFormat>
    <chartFormat chart="0" format="11" series="1">
      <pivotArea type="data" outline="0" fieldPosition="0">
        <references count="2">
          <reference field="4294967294" count="1" selected="0">
            <x v="0"/>
          </reference>
          <reference field="31" count="1" selected="0">
            <x v="11"/>
          </reference>
        </references>
      </pivotArea>
    </chartFormat>
    <chartFormat chart="0" format="12" series="1">
      <pivotArea type="data" outline="0" fieldPosition="0">
        <references count="2">
          <reference field="4294967294" count="1" selected="0">
            <x v="0"/>
          </reference>
          <reference field="31" count="1" selected="0">
            <x v="12"/>
          </reference>
        </references>
      </pivotArea>
    </chartFormat>
    <chartFormat chart="0" format="13" series="1">
      <pivotArea type="data" outline="0" fieldPosition="0">
        <references count="2">
          <reference field="4294967294" count="1" selected="0">
            <x v="0"/>
          </reference>
          <reference field="31" count="1" selected="0">
            <x v="13"/>
          </reference>
        </references>
      </pivotArea>
    </chartFormat>
    <chartFormat chart="0" format="14" series="1">
      <pivotArea type="data" outline="0" fieldPosition="0">
        <references count="2">
          <reference field="4294967294" count="1" selected="0">
            <x v="0"/>
          </reference>
          <reference field="31" count="1" selected="0">
            <x v="14"/>
          </reference>
        </references>
      </pivotArea>
    </chartFormat>
    <chartFormat chart="0" format="15" series="1">
      <pivotArea type="data" outline="0" fieldPosition="0">
        <references count="2">
          <reference field="4294967294" count="1" selected="0">
            <x v="0"/>
          </reference>
          <reference field="31" count="1" selected="0">
            <x v="15"/>
          </reference>
        </references>
      </pivotArea>
    </chartFormat>
    <chartFormat chart="0" format="16" series="1">
      <pivotArea type="data" outline="0" fieldPosition="0">
        <references count="2">
          <reference field="4294967294" count="1" selected="0">
            <x v="0"/>
          </reference>
          <reference field="31" count="1" selected="0">
            <x v="16"/>
          </reference>
        </references>
      </pivotArea>
    </chartFormat>
    <chartFormat chart="0" format="17" series="1">
      <pivotArea type="data" outline="0" fieldPosition="0">
        <references count="2">
          <reference field="4294967294" count="1" selected="0">
            <x v="0"/>
          </reference>
          <reference field="31" count="1" selected="0">
            <x v="17"/>
          </reference>
        </references>
      </pivotArea>
    </chartFormat>
    <chartFormat chart="0" format="18" series="1">
      <pivotArea type="data" outline="0" fieldPosition="0">
        <references count="2">
          <reference field="4294967294" count="1" selected="0">
            <x v="0"/>
          </reference>
          <reference field="31" count="1" selected="0">
            <x v="18"/>
          </reference>
        </references>
      </pivotArea>
    </chartFormat>
    <chartFormat chart="0" format="19" series="1">
      <pivotArea type="data" outline="0" fieldPosition="0">
        <references count="2">
          <reference field="4294967294" count="1" selected="0">
            <x v="0"/>
          </reference>
          <reference field="31" count="1" selected="0">
            <x v="19"/>
          </reference>
        </references>
      </pivotArea>
    </chartFormat>
    <chartFormat chart="0" format="20" series="1">
      <pivotArea type="data" outline="0" fieldPosition="0">
        <references count="2">
          <reference field="4294967294" count="1" selected="0">
            <x v="0"/>
          </reference>
          <reference field="31" count="1" selected="0">
            <x v="20"/>
          </reference>
        </references>
      </pivotArea>
    </chartFormat>
    <chartFormat chart="0" format="21" series="1">
      <pivotArea type="data" outline="0" fieldPosition="0">
        <references count="2">
          <reference field="4294967294" count="1" selected="0">
            <x v="0"/>
          </reference>
          <reference field="31" count="1" selected="0">
            <x v="21"/>
          </reference>
        </references>
      </pivotArea>
    </chartFormat>
    <chartFormat chart="0" format="22" series="1">
      <pivotArea type="data" outline="0" fieldPosition="0">
        <references count="2">
          <reference field="4294967294" count="1" selected="0">
            <x v="0"/>
          </reference>
          <reference field="31" count="1" selected="0">
            <x v="22"/>
          </reference>
        </references>
      </pivotArea>
    </chartFormat>
    <chartFormat chart="0" format="23" series="1">
      <pivotArea type="data" outline="0" fieldPosition="0">
        <references count="2">
          <reference field="4294967294" count="1" selected="0">
            <x v="0"/>
          </reference>
          <reference field="31" count="1" selected="0">
            <x v="23"/>
          </reference>
        </references>
      </pivotArea>
    </chartFormat>
    <chartFormat chart="0" format="24" series="1">
      <pivotArea type="data" outline="0" fieldPosition="0">
        <references count="2">
          <reference field="4294967294" count="1" selected="0">
            <x v="0"/>
          </reference>
          <reference field="31" count="1" selected="0">
            <x v="24"/>
          </reference>
        </references>
      </pivotArea>
    </chartFormat>
    <chartFormat chart="0" format="25" series="1">
      <pivotArea type="data" outline="0" fieldPosition="0">
        <references count="2">
          <reference field="4294967294" count="1" selected="0">
            <x v="0"/>
          </reference>
          <reference field="31" count="1" selected="0">
            <x v="25"/>
          </reference>
        </references>
      </pivotArea>
    </chartFormat>
    <chartFormat chart="0" format="26" series="1">
      <pivotArea type="data" outline="0" fieldPosition="0">
        <references count="2">
          <reference field="4294967294" count="1" selected="0">
            <x v="0"/>
          </reference>
          <reference field="31" count="1" selected="0">
            <x v="26"/>
          </reference>
        </references>
      </pivotArea>
    </chartFormat>
    <chartFormat chart="0" format="27" series="1">
      <pivotArea type="data" outline="0" fieldPosition="0">
        <references count="2">
          <reference field="4294967294" count="1" selected="0">
            <x v="0"/>
          </reference>
          <reference field="31" count="1" selected="0">
            <x v="27"/>
          </reference>
        </references>
      </pivotArea>
    </chartFormat>
    <chartFormat chart="0" format="28" series="1">
      <pivotArea type="data" outline="0" fieldPosition="0">
        <references count="2">
          <reference field="4294967294" count="1" selected="0">
            <x v="0"/>
          </reference>
          <reference field="31" count="1" selected="0">
            <x v="28"/>
          </reference>
        </references>
      </pivotArea>
    </chartFormat>
    <chartFormat chart="0" format="29" series="1">
      <pivotArea type="data" outline="0" fieldPosition="0">
        <references count="2">
          <reference field="4294967294" count="1" selected="0">
            <x v="0"/>
          </reference>
          <reference field="31" count="1" selected="0">
            <x v="29"/>
          </reference>
        </references>
      </pivotArea>
    </chartFormat>
    <chartFormat chart="0" format="30" series="1">
      <pivotArea type="data" outline="0" fieldPosition="0">
        <references count="2">
          <reference field="4294967294" count="1" selected="0">
            <x v="0"/>
          </reference>
          <reference field="31" count="1" selected="0">
            <x v="30"/>
          </reference>
        </references>
      </pivotArea>
    </chartFormat>
    <chartFormat chart="0" format="31" series="1">
      <pivotArea type="data" outline="0" fieldPosition="0">
        <references count="2">
          <reference field="4294967294" count="1" selected="0">
            <x v="0"/>
          </reference>
          <reference field="31" count="1" selected="0">
            <x v="31"/>
          </reference>
        </references>
      </pivotArea>
    </chartFormat>
    <chartFormat chart="0" format="32" series="1">
      <pivotArea type="data" outline="0" fieldPosition="0">
        <references count="2">
          <reference field="4294967294" count="1" selected="0">
            <x v="0"/>
          </reference>
          <reference field="31" count="1" selected="0">
            <x v="32"/>
          </reference>
        </references>
      </pivotArea>
    </chartFormat>
    <chartFormat chart="0" format="33" series="1">
      <pivotArea type="data" outline="0" fieldPosition="0">
        <references count="2">
          <reference field="4294967294" count="1" selected="0">
            <x v="0"/>
          </reference>
          <reference field="31" count="1" selected="0">
            <x v="33"/>
          </reference>
        </references>
      </pivotArea>
    </chartFormat>
    <chartFormat chart="0" format="34" series="1">
      <pivotArea type="data" outline="0" fieldPosition="0">
        <references count="2">
          <reference field="4294967294" count="1" selected="0">
            <x v="0"/>
          </reference>
          <reference field="31" count="1" selected="0">
            <x v="34"/>
          </reference>
        </references>
      </pivotArea>
    </chartFormat>
    <chartFormat chart="0" format="35" series="1">
      <pivotArea type="data" outline="0" fieldPosition="0">
        <references count="2">
          <reference field="4294967294" count="1" selected="0">
            <x v="0"/>
          </reference>
          <reference field="31" count="1" selected="0">
            <x v="35"/>
          </reference>
        </references>
      </pivotArea>
    </chartFormat>
    <chartFormat chart="0" format="36" series="1">
      <pivotArea type="data" outline="0" fieldPosition="0">
        <references count="2">
          <reference field="4294967294" count="1" selected="0">
            <x v="0"/>
          </reference>
          <reference field="31" count="1" selected="0">
            <x v="36"/>
          </reference>
        </references>
      </pivotArea>
    </chartFormat>
    <chartFormat chart="2" format="74" series="1">
      <pivotArea type="data" outline="0" fieldPosition="0">
        <references count="2">
          <reference field="4294967294" count="1" selected="0">
            <x v="0"/>
          </reference>
          <reference field="31" count="1" selected="0">
            <x v="0"/>
          </reference>
        </references>
      </pivotArea>
    </chartFormat>
    <chartFormat chart="2" format="75" series="1">
      <pivotArea type="data" outline="0" fieldPosition="0">
        <references count="2">
          <reference field="4294967294" count="1" selected="0">
            <x v="0"/>
          </reference>
          <reference field="31" count="1" selected="0">
            <x v="1"/>
          </reference>
        </references>
      </pivotArea>
    </chartFormat>
    <chartFormat chart="2" format="76" series="1">
      <pivotArea type="data" outline="0" fieldPosition="0">
        <references count="2">
          <reference field="4294967294" count="1" selected="0">
            <x v="0"/>
          </reference>
          <reference field="31" count="1" selected="0">
            <x v="2"/>
          </reference>
        </references>
      </pivotArea>
    </chartFormat>
    <chartFormat chart="2" format="77" series="1">
      <pivotArea type="data" outline="0" fieldPosition="0">
        <references count="2">
          <reference field="4294967294" count="1" selected="0">
            <x v="0"/>
          </reference>
          <reference field="31" count="1" selected="0">
            <x v="3"/>
          </reference>
        </references>
      </pivotArea>
    </chartFormat>
    <chartFormat chart="2" format="78" series="1">
      <pivotArea type="data" outline="0" fieldPosition="0">
        <references count="2">
          <reference field="4294967294" count="1" selected="0">
            <x v="0"/>
          </reference>
          <reference field="31" count="1" selected="0">
            <x v="4"/>
          </reference>
        </references>
      </pivotArea>
    </chartFormat>
    <chartFormat chart="2" format="79" series="1">
      <pivotArea type="data" outline="0" fieldPosition="0">
        <references count="2">
          <reference field="4294967294" count="1" selected="0">
            <x v="0"/>
          </reference>
          <reference field="31" count="1" selected="0">
            <x v="5"/>
          </reference>
        </references>
      </pivotArea>
    </chartFormat>
    <chartFormat chart="2" format="80" series="1">
      <pivotArea type="data" outline="0" fieldPosition="0">
        <references count="2">
          <reference field="4294967294" count="1" selected="0">
            <x v="0"/>
          </reference>
          <reference field="31" count="1" selected="0">
            <x v="6"/>
          </reference>
        </references>
      </pivotArea>
    </chartFormat>
    <chartFormat chart="2" format="81" series="1">
      <pivotArea type="data" outline="0" fieldPosition="0">
        <references count="2">
          <reference field="4294967294" count="1" selected="0">
            <x v="0"/>
          </reference>
          <reference field="31" count="1" selected="0">
            <x v="7"/>
          </reference>
        </references>
      </pivotArea>
    </chartFormat>
    <chartFormat chart="2" format="82" series="1">
      <pivotArea type="data" outline="0" fieldPosition="0">
        <references count="2">
          <reference field="4294967294" count="1" selected="0">
            <x v="0"/>
          </reference>
          <reference field="31" count="1" selected="0">
            <x v="8"/>
          </reference>
        </references>
      </pivotArea>
    </chartFormat>
    <chartFormat chart="2" format="83" series="1">
      <pivotArea type="data" outline="0" fieldPosition="0">
        <references count="2">
          <reference field="4294967294" count="1" selected="0">
            <x v="0"/>
          </reference>
          <reference field="31" count="1" selected="0">
            <x v="9"/>
          </reference>
        </references>
      </pivotArea>
    </chartFormat>
    <chartFormat chart="2" format="84" series="1">
      <pivotArea type="data" outline="0" fieldPosition="0">
        <references count="2">
          <reference field="4294967294" count="1" selected="0">
            <x v="0"/>
          </reference>
          <reference field="31" count="1" selected="0">
            <x v="10"/>
          </reference>
        </references>
      </pivotArea>
    </chartFormat>
    <chartFormat chart="2" format="85" series="1">
      <pivotArea type="data" outline="0" fieldPosition="0">
        <references count="2">
          <reference field="4294967294" count="1" selected="0">
            <x v="0"/>
          </reference>
          <reference field="31" count="1" selected="0">
            <x v="11"/>
          </reference>
        </references>
      </pivotArea>
    </chartFormat>
    <chartFormat chart="2" format="86" series="1">
      <pivotArea type="data" outline="0" fieldPosition="0">
        <references count="2">
          <reference field="4294967294" count="1" selected="0">
            <x v="0"/>
          </reference>
          <reference field="31" count="1" selected="0">
            <x v="12"/>
          </reference>
        </references>
      </pivotArea>
    </chartFormat>
    <chartFormat chart="2" format="87" series="1">
      <pivotArea type="data" outline="0" fieldPosition="0">
        <references count="2">
          <reference field="4294967294" count="1" selected="0">
            <x v="0"/>
          </reference>
          <reference field="31" count="1" selected="0">
            <x v="13"/>
          </reference>
        </references>
      </pivotArea>
    </chartFormat>
    <chartFormat chart="2" format="88" series="1">
      <pivotArea type="data" outline="0" fieldPosition="0">
        <references count="2">
          <reference field="4294967294" count="1" selected="0">
            <x v="0"/>
          </reference>
          <reference field="31" count="1" selected="0">
            <x v="14"/>
          </reference>
        </references>
      </pivotArea>
    </chartFormat>
    <chartFormat chart="2" format="89" series="1">
      <pivotArea type="data" outline="0" fieldPosition="0">
        <references count="2">
          <reference field="4294967294" count="1" selected="0">
            <x v="0"/>
          </reference>
          <reference field="31" count="1" selected="0">
            <x v="15"/>
          </reference>
        </references>
      </pivotArea>
    </chartFormat>
    <chartFormat chart="2" format="90" series="1">
      <pivotArea type="data" outline="0" fieldPosition="0">
        <references count="2">
          <reference field="4294967294" count="1" selected="0">
            <x v="0"/>
          </reference>
          <reference field="31" count="1" selected="0">
            <x v="16"/>
          </reference>
        </references>
      </pivotArea>
    </chartFormat>
    <chartFormat chart="2" format="91" series="1">
      <pivotArea type="data" outline="0" fieldPosition="0">
        <references count="2">
          <reference field="4294967294" count="1" selected="0">
            <x v="0"/>
          </reference>
          <reference field="31" count="1" selected="0">
            <x v="17"/>
          </reference>
        </references>
      </pivotArea>
    </chartFormat>
    <chartFormat chart="2" format="92" series="1">
      <pivotArea type="data" outline="0" fieldPosition="0">
        <references count="2">
          <reference field="4294967294" count="1" selected="0">
            <x v="0"/>
          </reference>
          <reference field="31" count="1" selected="0">
            <x v="18"/>
          </reference>
        </references>
      </pivotArea>
    </chartFormat>
    <chartFormat chart="2" format="93" series="1">
      <pivotArea type="data" outline="0" fieldPosition="0">
        <references count="2">
          <reference field="4294967294" count="1" selected="0">
            <x v="0"/>
          </reference>
          <reference field="31" count="1" selected="0">
            <x v="19"/>
          </reference>
        </references>
      </pivotArea>
    </chartFormat>
    <chartFormat chart="2" format="94" series="1">
      <pivotArea type="data" outline="0" fieldPosition="0">
        <references count="2">
          <reference field="4294967294" count="1" selected="0">
            <x v="0"/>
          </reference>
          <reference field="31" count="1" selected="0">
            <x v="20"/>
          </reference>
        </references>
      </pivotArea>
    </chartFormat>
    <chartFormat chart="2" format="95" series="1">
      <pivotArea type="data" outline="0" fieldPosition="0">
        <references count="2">
          <reference field="4294967294" count="1" selected="0">
            <x v="0"/>
          </reference>
          <reference field="31" count="1" selected="0">
            <x v="21"/>
          </reference>
        </references>
      </pivotArea>
    </chartFormat>
    <chartFormat chart="2" format="96" series="1">
      <pivotArea type="data" outline="0" fieldPosition="0">
        <references count="2">
          <reference field="4294967294" count="1" selected="0">
            <x v="0"/>
          </reference>
          <reference field="31" count="1" selected="0">
            <x v="22"/>
          </reference>
        </references>
      </pivotArea>
    </chartFormat>
    <chartFormat chart="2" format="97" series="1">
      <pivotArea type="data" outline="0" fieldPosition="0">
        <references count="2">
          <reference field="4294967294" count="1" selected="0">
            <x v="0"/>
          </reference>
          <reference field="31" count="1" selected="0">
            <x v="23"/>
          </reference>
        </references>
      </pivotArea>
    </chartFormat>
    <chartFormat chart="2" format="98" series="1">
      <pivotArea type="data" outline="0" fieldPosition="0">
        <references count="2">
          <reference field="4294967294" count="1" selected="0">
            <x v="0"/>
          </reference>
          <reference field="31" count="1" selected="0">
            <x v="24"/>
          </reference>
        </references>
      </pivotArea>
    </chartFormat>
    <chartFormat chart="2" format="99" series="1">
      <pivotArea type="data" outline="0" fieldPosition="0">
        <references count="2">
          <reference field="4294967294" count="1" selected="0">
            <x v="0"/>
          </reference>
          <reference field="31" count="1" selected="0">
            <x v="25"/>
          </reference>
        </references>
      </pivotArea>
    </chartFormat>
    <chartFormat chart="2" format="100" series="1">
      <pivotArea type="data" outline="0" fieldPosition="0">
        <references count="2">
          <reference field="4294967294" count="1" selected="0">
            <x v="0"/>
          </reference>
          <reference field="31" count="1" selected="0">
            <x v="26"/>
          </reference>
        </references>
      </pivotArea>
    </chartFormat>
    <chartFormat chart="2" format="101" series="1">
      <pivotArea type="data" outline="0" fieldPosition="0">
        <references count="2">
          <reference field="4294967294" count="1" selected="0">
            <x v="0"/>
          </reference>
          <reference field="31" count="1" selected="0">
            <x v="27"/>
          </reference>
        </references>
      </pivotArea>
    </chartFormat>
    <chartFormat chart="2" format="102" series="1">
      <pivotArea type="data" outline="0" fieldPosition="0">
        <references count="2">
          <reference field="4294967294" count="1" selected="0">
            <x v="0"/>
          </reference>
          <reference field="31" count="1" selected="0">
            <x v="28"/>
          </reference>
        </references>
      </pivotArea>
    </chartFormat>
    <chartFormat chart="2" format="103" series="1">
      <pivotArea type="data" outline="0" fieldPosition="0">
        <references count="2">
          <reference field="4294967294" count="1" selected="0">
            <x v="0"/>
          </reference>
          <reference field="31" count="1" selected="0">
            <x v="29"/>
          </reference>
        </references>
      </pivotArea>
    </chartFormat>
    <chartFormat chart="2" format="104" series="1">
      <pivotArea type="data" outline="0" fieldPosition="0">
        <references count="2">
          <reference field="4294967294" count="1" selected="0">
            <x v="0"/>
          </reference>
          <reference field="31" count="1" selected="0">
            <x v="30"/>
          </reference>
        </references>
      </pivotArea>
    </chartFormat>
    <chartFormat chart="2" format="105" series="1">
      <pivotArea type="data" outline="0" fieldPosition="0">
        <references count="2">
          <reference field="4294967294" count="1" selected="0">
            <x v="0"/>
          </reference>
          <reference field="31" count="1" selected="0">
            <x v="31"/>
          </reference>
        </references>
      </pivotArea>
    </chartFormat>
    <chartFormat chart="2" format="106" series="1">
      <pivotArea type="data" outline="0" fieldPosition="0">
        <references count="2">
          <reference field="4294967294" count="1" selected="0">
            <x v="0"/>
          </reference>
          <reference field="31" count="1" selected="0">
            <x v="32"/>
          </reference>
        </references>
      </pivotArea>
    </chartFormat>
    <chartFormat chart="2" format="107" series="1">
      <pivotArea type="data" outline="0" fieldPosition="0">
        <references count="2">
          <reference field="4294967294" count="1" selected="0">
            <x v="0"/>
          </reference>
          <reference field="31" count="1" selected="0">
            <x v="33"/>
          </reference>
        </references>
      </pivotArea>
    </chartFormat>
    <chartFormat chart="2" format="108" series="1">
      <pivotArea type="data" outline="0" fieldPosition="0">
        <references count="2">
          <reference field="4294967294" count="1" selected="0">
            <x v="0"/>
          </reference>
          <reference field="31" count="1" selected="0">
            <x v="34"/>
          </reference>
        </references>
      </pivotArea>
    </chartFormat>
    <chartFormat chart="2" format="109" series="1">
      <pivotArea type="data" outline="0" fieldPosition="0">
        <references count="2">
          <reference field="4294967294" count="1" selected="0">
            <x v="0"/>
          </reference>
          <reference field="31" count="1" selected="0">
            <x v="35"/>
          </reference>
        </references>
      </pivotArea>
    </chartFormat>
    <chartFormat chart="2" format="110" series="1">
      <pivotArea type="data" outline="0" fieldPosition="0">
        <references count="2">
          <reference field="4294967294" count="1" selected="0">
            <x v="0"/>
          </reference>
          <reference field="31" count="1" selected="0">
            <x v="3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DC6CF1-66DE-4F53-8CDF-6119C9C790B1}"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colHeaderCaption="Attrition">
  <location ref="A72:D76"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EmployeeNumber" fld="9" subtotal="count" baseField="11" baseItem="0"/>
  </dataFields>
  <chartFormats count="6">
    <chartFormat chart="2" format="8" series="1">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3">
          <reference field="4294967294" count="1" selected="0">
            <x v="0"/>
          </reference>
          <reference field="1" count="1" selected="0">
            <x v="0"/>
          </reference>
          <reference field="11" count="1" selected="0">
            <x v="0"/>
          </reference>
        </references>
      </pivotArea>
    </chartFormat>
    <chartFormat chart="2" format="10">
      <pivotArea type="data" outline="0" fieldPosition="0">
        <references count="3">
          <reference field="4294967294" count="1" selected="0">
            <x v="0"/>
          </reference>
          <reference field="1" count="1" selected="0">
            <x v="0"/>
          </reference>
          <reference field="11" count="1" selected="0">
            <x v="1"/>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3">
          <reference field="4294967294" count="1" selected="0">
            <x v="0"/>
          </reference>
          <reference field="1" count="1" selected="0">
            <x v="1"/>
          </reference>
          <reference field="11" count="1" selected="0">
            <x v="0"/>
          </reference>
        </references>
      </pivotArea>
    </chartFormat>
    <chartFormat chart="2" format="13">
      <pivotArea type="data" outline="0" fieldPosition="0">
        <references count="3">
          <reference field="4294967294" count="1" selected="0">
            <x v="0"/>
          </reference>
          <reference field="1"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CAF20C-2A3B-4E8A-9D0F-8B89A0C7841E}"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ducation Field" colHeaderCaption="Attrition">
  <location ref="A60:D68"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Count of EmployeeNumber" fld="9" subtotal="count" baseField="7"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BFE87C-683F-46AC-BD0C-DC4F52CADA91}"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rital Status" colHeaderCaption="Attrition">
  <location ref="A51:D56"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17"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C2F1E-68B2-4388-A89B-8F7FA1BB31C4}"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vertime" colHeaderCaption="Attrition">
  <location ref="A43:D47"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baseField="22"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9BBBF7-4DCA-42DB-BC57-B2866590E989}"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usiness Travel" colHeaderCaption="Attrition">
  <location ref="A34:D39" firstHeaderRow="1" firstDataRow="2" firstDataCol="1"/>
  <pivotFields count="36">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Count of EmployeeNumber" fld="9" subtotal="count" baseField="2"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BD139D-A712-41EE-83CE-AE07304C8D96}"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colHeaderCaption="Attrition">
  <location ref="A19:D30"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baseField="15"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9B4F2B-789C-4E86-B11B-4ED64C0DDCC7}"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colHeaderCaption="Attrition">
  <location ref="A10:D15"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B6444F-5074-410A-BE97-41273FB34EC9}"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3:B6" firstHeaderRow="1" firstDataRow="1" firstDataCol="1"/>
  <pivotFields count="36">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27E23A18-21D1-4148-A576-70F5E60A95F8}" sourceName="BusinessTravel">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9D44A7C-24E7-4E78-BFB2-A06996EA9C08}" sourceName="Department">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3BB44C7A-C483-4D46-A678-05D78BB2CAE5}" sourceName="EducationField">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FB22EA-8AB8-49C0-9388-3CC8038A859A}" sourceName="Gender">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ABAF8662-E92B-423B-9EBA-880016EE6F3B}" sourceName="JobRole">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3907BD1C-4776-42F2-9A48-7E4563AD04E8}" sourceName="MaritalStatus">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C875216-B7B1-4858-9FBC-AD66F9F678F7}" sourceName="OverTime">
  <pivotTables>
    <pivotTable tabId="3" name="PivotTable2"/>
    <pivotTable tabId="3" name="PivotTable1"/>
    <pivotTable tabId="3" name="PivotTable10"/>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s>
  <data>
    <tabular pivotCacheId="1525110360">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6EA75939-FA7C-4F5B-8A25-7347F209E828}" sourceName="YearsAtCompany">
  <pivotTables>
    <pivotTable tabId="3" name="PivotTable2"/>
    <pivotTable tabId="3" name="PivotTable1"/>
    <pivotTable tabId="3" name="PivotTable10"/>
    <pivotTable tabId="3" name="PivotTable11"/>
    <pivotTable tabId="3" name="PivotTable12"/>
    <pivotTable tabId="3" name="PivotTable3"/>
    <pivotTable tabId="3" name="PivotTable5"/>
    <pivotTable tabId="3" name="PivotTable6"/>
    <pivotTable tabId="3" name="PivotTable7"/>
    <pivotTable tabId="3" name="PivotTable8"/>
    <pivotTable tabId="3" name="PivotTable9"/>
  </pivotTables>
  <data>
    <tabular pivotCacheId="1525110360">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5149C4F7-4A46-47CD-8D3D-AC92D09969FA}" cache="Slicer_BusinessTravel" caption="BusinessTravel" rowHeight="241300"/>
  <slicer name="Department" xr10:uid="{A606AAA4-926C-4098-803E-93A08D3C5000}" cache="Slicer_Department" caption="Department" rowHeight="241300"/>
  <slicer name="EducationField" xr10:uid="{4A9CAE66-2DC4-414E-B50C-C7C9CEEE8906}" cache="Slicer_EducationField" caption="EducationField" rowHeight="241300"/>
  <slicer name="Gender" xr10:uid="{0E26A211-D1FE-4C20-9B6C-10AA0B529C8E}" cache="Slicer_Gender" caption="Gender" rowHeight="241300"/>
  <slicer name="JobRole" xr10:uid="{62663115-521E-407C-B21B-98074D103C0B}" cache="Slicer_JobRole" caption="JobRole" rowHeight="241300"/>
  <slicer name="MaritalStatus" xr10:uid="{077300F8-E48A-4EA9-AB01-41577C6EBFCE}" cache="Slicer_MaritalStatus" caption="MaritalStatus" rowHeight="241300"/>
  <slicer name="OverTime" xr10:uid="{6D2C166B-E446-464E-A268-5133E5F24A45}" cache="Slicer_OverTime" caption="OverTime" rowHeight="241300"/>
  <slicer name="YearsAtCompany" xr10:uid="{B7F1BDC8-1A14-4466-945A-113307186115}" cache="Slicer_YearsAtCompany" caption="YearsAtCompan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1" xr10:uid="{FF1B97CC-CB39-4B20-8B5E-5504591669E3}" cache="Slicer_BusinessTravel" caption="BusinessTravel" rowHeight="241300"/>
  <slicer name="Department 1" xr10:uid="{1C199104-7217-4D83-AA47-0A8A533F758A}" cache="Slicer_Department" caption="Department" rowHeight="241300"/>
  <slicer name="EducationField 1" xr10:uid="{C1A1910E-2996-4476-9A99-C9AED1BEAFB3}" cache="Slicer_EducationField" caption="EducationField" rowHeight="241300"/>
  <slicer name="Gender 1" xr10:uid="{972CD7BC-D51B-4EF7-9D68-7DC4C0210FD3}" cache="Slicer_Gender" caption="Gender" rowHeight="241300"/>
  <slicer name="JobRole 1" xr10:uid="{3676603C-CC1F-4D8A-8DB5-68AF913AFA99}" cache="Slicer_JobRole" caption="JobRole" rowHeight="241300"/>
  <slicer name="MaritalStatus 1" xr10:uid="{AB76F9B8-CE87-421C-9970-96B050AA0132}" cache="Slicer_MaritalStatus" caption="MaritalStatus" rowHeight="241300"/>
  <slicer name="OverTime 1" xr10:uid="{14B9B055-974C-44DF-9FA6-6325FFAD2990}" cache="Slicer_OverTime" caption="OverTime" rowHeight="241300"/>
  <slicer name="YearsAtCompany 1" xr10:uid="{B07B341D-EA5C-4E21-9495-F303BB5065FC}" cache="Slicer_YearsAtCompany" caption="YearsAtCompan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5D72C1-7279-4EE4-A747-89E805B1BDEF}" name="Table1" displayName="Table1" ref="A1:AJ1471" totalsRowShown="0">
  <autoFilter ref="A1:AJ1471" xr:uid="{725D72C1-7279-4EE4-A747-89E805B1BDEF}"/>
  <tableColumns count="36">
    <tableColumn id="1" xr3:uid="{45B7F994-7987-421F-A531-18A94C3AAF51}" name="Age"/>
    <tableColumn id="2" xr3:uid="{F806AA9B-073F-4423-8E2E-B334B64F928E}" name="Attrition"/>
    <tableColumn id="3" xr3:uid="{448681D5-BCAF-4048-9B95-6EB1E763BE9A}" name="BusinessTravel"/>
    <tableColumn id="4" xr3:uid="{FDEF35C0-AA59-4115-811D-A837B643ED5F}" name="DailyRate"/>
    <tableColumn id="5" xr3:uid="{F5EE0D1F-ABC6-424F-967F-C5C6952D1A6D}" name="Department"/>
    <tableColumn id="6" xr3:uid="{E62A75D0-05EB-45A5-AC36-BE302A2785BB}" name="DistanceFromHome"/>
    <tableColumn id="7" xr3:uid="{E9EFED7A-8F6E-491A-B7ED-9A902D730DEA}" name="Education"/>
    <tableColumn id="8" xr3:uid="{9D0AC620-3570-4503-87E5-99E7C8528008}" name="EducationField"/>
    <tableColumn id="9" xr3:uid="{EEB42977-71D7-43C8-9FA7-6345D3317A3E}" name="EmployeeCount"/>
    <tableColumn id="10" xr3:uid="{70D08127-3ACD-4374-9B8A-4170394061A9}" name="EmployeeNumber"/>
    <tableColumn id="11" xr3:uid="{AD36B323-ABB4-48F4-8AC7-EF4FF2DC6573}" name="EnvironmentSatisfaction"/>
    <tableColumn id="12" xr3:uid="{C7F77C84-A5F7-4A11-AC10-28FEF8BAACA0}" name="Gender"/>
    <tableColumn id="13" xr3:uid="{1FEAA5D8-AF56-4E51-8EB8-501F3AC534BF}" name="HourlyRate"/>
    <tableColumn id="14" xr3:uid="{C9C41DEC-5BB7-452C-866E-97264652C201}" name="JobInvolvement"/>
    <tableColumn id="15" xr3:uid="{786BAA59-10FC-4FC5-8A63-846D0659FB14}" name="JobLevel"/>
    <tableColumn id="16" xr3:uid="{A907714E-B427-4008-A162-4C6932158E70}" name="JobRole"/>
    <tableColumn id="17" xr3:uid="{53229C85-3120-44BB-BE1E-221E74F46305}" name="JobSatisfaction"/>
    <tableColumn id="18" xr3:uid="{73E11D91-CF7B-4F22-BF99-CF02812F184F}" name="MaritalStatus"/>
    <tableColumn id="19" xr3:uid="{9B6BAA87-9C5D-4D77-9D90-F5B903B8ACAD}" name="MonthlyIncome"/>
    <tableColumn id="20" xr3:uid="{01A86F86-7532-4B38-A132-D27B6FA19461}" name="MonthlyRate"/>
    <tableColumn id="21" xr3:uid="{425B34AD-3A9C-4421-9B7A-10CBBA886E09}" name="NumCompaniesWorked"/>
    <tableColumn id="22" xr3:uid="{CE2D29A3-9ED0-4BB8-BAAC-84888ECF718F}" name="Over18"/>
    <tableColumn id="23" xr3:uid="{2122FD93-B73C-46BC-A438-E807A778818F}" name="OverTime"/>
    <tableColumn id="24" xr3:uid="{D1B765E9-2921-4C87-9767-D138808ACC69}" name="PercentSalaryHike"/>
    <tableColumn id="25" xr3:uid="{CA150C8A-DE80-42BE-A108-DCEEF45DCBD4}" name="PerformanceRating"/>
    <tableColumn id="26" xr3:uid="{004DCD20-4BD0-46FA-9608-6F3072EC0F82}" name="RelationshipSatisfaction"/>
    <tableColumn id="27" xr3:uid="{4E213118-4CE4-4883-81D5-F0B40600A05B}" name="StandardHours"/>
    <tableColumn id="28" xr3:uid="{98B43D55-4016-4AEE-9425-B6FF30C85D57}" name="StockOptionLevel"/>
    <tableColumn id="29" xr3:uid="{918BFE3A-8A30-4847-81CB-9A78884CFEE4}" name="TotalWorkingYears"/>
    <tableColumn id="30" xr3:uid="{AA763523-5BD3-45E8-987D-5A842E9D1169}" name="TrainingTimesLastYear"/>
    <tableColumn id="31" xr3:uid="{101343BE-87D5-486B-9B94-D51BC507297F}" name="WorkLifeBalance"/>
    <tableColumn id="32" xr3:uid="{3DA4E1D7-267B-4F47-B822-4608182012DB}" name="YearsAtCompany"/>
    <tableColumn id="36" xr3:uid="{0816E95C-24A7-473A-811D-C5D3206579CE}" name="Column1"/>
    <tableColumn id="33" xr3:uid="{631ABDF5-10CF-4940-80F3-525C473BDB27}" name="YearsInCurrentRole"/>
    <tableColumn id="34" xr3:uid="{19260BBD-2064-4ADC-AD4D-C17E9F93C211}" name="YearsSinceLastPromotion"/>
    <tableColumn id="35" xr3:uid="{18EECB70-0900-40E8-AD66-6352B2F4FC83}"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D43E-533D-41B6-B599-25B578139DFB}">
  <dimension ref="A1:AJ1471"/>
  <sheetViews>
    <sheetView tabSelected="1" topLeftCell="A2" workbookViewId="0">
      <selection activeCell="A2" sqref="A2"/>
    </sheetView>
  </sheetViews>
  <sheetFormatPr defaultRowHeight="14.5" x14ac:dyDescent="0.35"/>
  <cols>
    <col min="2" max="2" width="10" customWidth="1"/>
    <col min="3" max="3" width="15.08984375" customWidth="1"/>
    <col min="4" max="4" width="10.7265625" customWidth="1"/>
    <col min="5" max="5" width="13.08984375" customWidth="1"/>
    <col min="6" max="6" width="19.36328125" customWidth="1"/>
    <col min="7" max="7" width="11.17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62</v>
      </c>
      <c r="AH1" t="s">
        <v>32</v>
      </c>
      <c r="AI1" t="s">
        <v>33</v>
      </c>
      <c r="AJ1" t="s">
        <v>34</v>
      </c>
    </row>
    <row r="2" spans="1:36"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H2">
        <v>4</v>
      </c>
      <c r="AI2">
        <v>0</v>
      </c>
      <c r="AJ2">
        <v>5</v>
      </c>
    </row>
    <row r="3" spans="1:36"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H3">
        <v>7</v>
      </c>
      <c r="AI3">
        <v>1</v>
      </c>
      <c r="AJ3">
        <v>7</v>
      </c>
    </row>
    <row r="4" spans="1:36"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H4">
        <v>0</v>
      </c>
      <c r="AI4">
        <v>0</v>
      </c>
      <c r="AJ4">
        <v>0</v>
      </c>
    </row>
    <row r="5" spans="1:36"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H5">
        <v>7</v>
      </c>
      <c r="AI5">
        <v>3</v>
      </c>
      <c r="AJ5">
        <v>0</v>
      </c>
    </row>
    <row r="6" spans="1:36"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H6">
        <v>2</v>
      </c>
      <c r="AI6">
        <v>2</v>
      </c>
      <c r="AJ6">
        <v>2</v>
      </c>
    </row>
    <row r="7" spans="1:36"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H7">
        <v>7</v>
      </c>
      <c r="AI7">
        <v>3</v>
      </c>
      <c r="AJ7">
        <v>6</v>
      </c>
    </row>
    <row r="8" spans="1:36"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H8">
        <v>0</v>
      </c>
      <c r="AI8">
        <v>0</v>
      </c>
      <c r="AJ8">
        <v>0</v>
      </c>
    </row>
    <row r="9" spans="1:36"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H9">
        <v>0</v>
      </c>
      <c r="AI9">
        <v>0</v>
      </c>
      <c r="AJ9">
        <v>0</v>
      </c>
    </row>
    <row r="10" spans="1:36"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H10">
        <v>7</v>
      </c>
      <c r="AI10">
        <v>1</v>
      </c>
      <c r="AJ10">
        <v>8</v>
      </c>
    </row>
    <row r="11" spans="1:36"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H11">
        <v>7</v>
      </c>
      <c r="AI11">
        <v>7</v>
      </c>
      <c r="AJ11">
        <v>7</v>
      </c>
    </row>
    <row r="12" spans="1:36"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H12">
        <v>4</v>
      </c>
      <c r="AI12">
        <v>0</v>
      </c>
      <c r="AJ12">
        <v>3</v>
      </c>
    </row>
    <row r="13" spans="1:36"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H13">
        <v>5</v>
      </c>
      <c r="AI13">
        <v>0</v>
      </c>
      <c r="AJ13">
        <v>8</v>
      </c>
    </row>
    <row r="14" spans="1:36"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H14">
        <v>2</v>
      </c>
      <c r="AI14">
        <v>4</v>
      </c>
      <c r="AJ14">
        <v>3</v>
      </c>
    </row>
    <row r="15" spans="1:36"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H15">
        <v>2</v>
      </c>
      <c r="AI15">
        <v>1</v>
      </c>
      <c r="AJ15">
        <v>2</v>
      </c>
    </row>
    <row r="16" spans="1:36"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H16">
        <v>2</v>
      </c>
      <c r="AI16">
        <v>0</v>
      </c>
      <c r="AJ16">
        <v>3</v>
      </c>
    </row>
    <row r="17" spans="1:36"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H17">
        <v>9</v>
      </c>
      <c r="AI17">
        <v>8</v>
      </c>
      <c r="AJ17">
        <v>8</v>
      </c>
    </row>
    <row r="18" spans="1:36"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H18">
        <v>2</v>
      </c>
      <c r="AI18">
        <v>0</v>
      </c>
      <c r="AJ18">
        <v>5</v>
      </c>
    </row>
    <row r="19" spans="1:36"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H19">
        <v>0</v>
      </c>
      <c r="AI19">
        <v>0</v>
      </c>
      <c r="AJ19">
        <v>0</v>
      </c>
    </row>
    <row r="20" spans="1:36"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H20">
        <v>8</v>
      </c>
      <c r="AI20">
        <v>3</v>
      </c>
      <c r="AJ20">
        <v>7</v>
      </c>
    </row>
    <row r="21" spans="1:36"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H21">
        <v>2</v>
      </c>
      <c r="AI21">
        <v>1</v>
      </c>
      <c r="AJ21">
        <v>2</v>
      </c>
    </row>
    <row r="22" spans="1:36"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H22">
        <v>2</v>
      </c>
      <c r="AI22">
        <v>1</v>
      </c>
      <c r="AJ22">
        <v>3</v>
      </c>
    </row>
    <row r="23" spans="1:36"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H23">
        <v>3</v>
      </c>
      <c r="AI23">
        <v>0</v>
      </c>
      <c r="AJ23">
        <v>3</v>
      </c>
    </row>
    <row r="24" spans="1:36"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H24">
        <v>6</v>
      </c>
      <c r="AI24">
        <v>2</v>
      </c>
      <c r="AJ24">
        <v>11</v>
      </c>
    </row>
    <row r="25" spans="1:36"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H25">
        <v>0</v>
      </c>
      <c r="AI25">
        <v>0</v>
      </c>
      <c r="AJ25">
        <v>0</v>
      </c>
    </row>
    <row r="26" spans="1:36"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H26">
        <v>2</v>
      </c>
      <c r="AI26">
        <v>1</v>
      </c>
      <c r="AJ26">
        <v>3</v>
      </c>
    </row>
    <row r="27" spans="1:36"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H27">
        <v>13</v>
      </c>
      <c r="AI27">
        <v>4</v>
      </c>
      <c r="AJ27">
        <v>8</v>
      </c>
    </row>
    <row r="28" spans="1:36"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H28">
        <v>2</v>
      </c>
      <c r="AI28">
        <v>6</v>
      </c>
      <c r="AJ28">
        <v>7</v>
      </c>
    </row>
    <row r="29" spans="1:36"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H29">
        <v>7</v>
      </c>
      <c r="AI29">
        <v>4</v>
      </c>
      <c r="AJ29">
        <v>2</v>
      </c>
    </row>
    <row r="30" spans="1:36"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H30">
        <v>6</v>
      </c>
      <c r="AI30">
        <v>5</v>
      </c>
      <c r="AJ30">
        <v>17</v>
      </c>
    </row>
    <row r="31" spans="1:36"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H31">
        <v>2</v>
      </c>
      <c r="AI31">
        <v>2</v>
      </c>
      <c r="AJ31">
        <v>1</v>
      </c>
    </row>
    <row r="32" spans="1:36"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H32">
        <v>1</v>
      </c>
      <c r="AI32">
        <v>0</v>
      </c>
      <c r="AJ32">
        <v>0</v>
      </c>
    </row>
    <row r="33" spans="1:36"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H33">
        <v>2</v>
      </c>
      <c r="AI33">
        <v>1</v>
      </c>
      <c r="AJ33">
        <v>3</v>
      </c>
    </row>
    <row r="34" spans="1:36"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H34">
        <v>0</v>
      </c>
      <c r="AI34">
        <v>1</v>
      </c>
      <c r="AJ34">
        <v>8</v>
      </c>
    </row>
    <row r="35" spans="1:36"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H35">
        <v>0</v>
      </c>
      <c r="AI35">
        <v>0</v>
      </c>
      <c r="AJ35">
        <v>0</v>
      </c>
    </row>
    <row r="36" spans="1:36"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H36">
        <v>0</v>
      </c>
      <c r="AI36">
        <v>2</v>
      </c>
      <c r="AJ36">
        <v>0</v>
      </c>
    </row>
    <row r="37" spans="1:36"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H37">
        <v>3</v>
      </c>
      <c r="AI37">
        <v>1</v>
      </c>
      <c r="AJ37">
        <v>4</v>
      </c>
    </row>
    <row r="38" spans="1:36"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H38">
        <v>2</v>
      </c>
      <c r="AI38">
        <v>0</v>
      </c>
      <c r="AJ38">
        <v>2</v>
      </c>
    </row>
    <row r="39" spans="1:36"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H39">
        <v>2</v>
      </c>
      <c r="AI39">
        <v>2</v>
      </c>
      <c r="AJ39">
        <v>2</v>
      </c>
    </row>
    <row r="40" spans="1:36"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H40">
        <v>1</v>
      </c>
      <c r="AI40">
        <v>0</v>
      </c>
      <c r="AJ40">
        <v>0</v>
      </c>
    </row>
    <row r="41" spans="1:36"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H41">
        <v>3</v>
      </c>
      <c r="AI41">
        <v>1</v>
      </c>
      <c r="AJ41">
        <v>3</v>
      </c>
    </row>
    <row r="42" spans="1:36"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H42">
        <v>0</v>
      </c>
      <c r="AI42">
        <v>0</v>
      </c>
      <c r="AJ42">
        <v>0</v>
      </c>
    </row>
    <row r="43" spans="1:36"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H43">
        <v>0</v>
      </c>
      <c r="AI43">
        <v>0</v>
      </c>
      <c r="AJ43">
        <v>0</v>
      </c>
    </row>
    <row r="44" spans="1:36"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H44">
        <v>0</v>
      </c>
      <c r="AI44">
        <v>0</v>
      </c>
      <c r="AJ44">
        <v>1</v>
      </c>
    </row>
    <row r="45" spans="1:36"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H45">
        <v>8</v>
      </c>
      <c r="AI45">
        <v>1</v>
      </c>
      <c r="AJ45">
        <v>7</v>
      </c>
    </row>
    <row r="46" spans="1:36"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H46">
        <v>8</v>
      </c>
      <c r="AI46">
        <v>3</v>
      </c>
      <c r="AJ46">
        <v>7</v>
      </c>
    </row>
    <row r="47" spans="1:36"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H47">
        <v>15</v>
      </c>
      <c r="AI47">
        <v>15</v>
      </c>
      <c r="AJ47">
        <v>8</v>
      </c>
    </row>
    <row r="48" spans="1:36"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H48">
        <v>5</v>
      </c>
      <c r="AI48">
        <v>8</v>
      </c>
      <c r="AJ48">
        <v>7</v>
      </c>
    </row>
    <row r="49" spans="1:36"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H49">
        <v>0</v>
      </c>
      <c r="AI49">
        <v>0</v>
      </c>
      <c r="AJ49">
        <v>0</v>
      </c>
    </row>
    <row r="50" spans="1:36"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H50">
        <v>6</v>
      </c>
      <c r="AI50">
        <v>0</v>
      </c>
      <c r="AJ50">
        <v>8</v>
      </c>
    </row>
    <row r="51" spans="1:36"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H51">
        <v>0</v>
      </c>
      <c r="AI51">
        <v>0</v>
      </c>
      <c r="AJ51">
        <v>1</v>
      </c>
    </row>
    <row r="52" spans="1:36"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H52">
        <v>0</v>
      </c>
      <c r="AI52">
        <v>0</v>
      </c>
      <c r="AJ52">
        <v>0</v>
      </c>
    </row>
    <row r="53" spans="1:36"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H53">
        <v>2</v>
      </c>
      <c r="AI53">
        <v>2</v>
      </c>
      <c r="AJ53">
        <v>2</v>
      </c>
    </row>
    <row r="54" spans="1:36"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H54">
        <v>3</v>
      </c>
      <c r="AI54">
        <v>1</v>
      </c>
      <c r="AJ54">
        <v>3</v>
      </c>
    </row>
    <row r="55" spans="1:36"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H55">
        <v>0</v>
      </c>
      <c r="AI55">
        <v>2</v>
      </c>
      <c r="AJ55">
        <v>3</v>
      </c>
    </row>
    <row r="56" spans="1:36"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H56">
        <v>2</v>
      </c>
      <c r="AI56">
        <v>0</v>
      </c>
      <c r="AJ56">
        <v>0</v>
      </c>
    </row>
    <row r="57" spans="1:36"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H57">
        <v>14</v>
      </c>
      <c r="AI57">
        <v>8</v>
      </c>
      <c r="AJ57">
        <v>12</v>
      </c>
    </row>
    <row r="58" spans="1:36"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H58">
        <v>8</v>
      </c>
      <c r="AI58">
        <v>1</v>
      </c>
      <c r="AJ58">
        <v>8</v>
      </c>
    </row>
    <row r="59" spans="1:36"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H59">
        <v>2</v>
      </c>
      <c r="AI59">
        <v>2</v>
      </c>
      <c r="AJ59">
        <v>2</v>
      </c>
    </row>
    <row r="60" spans="1:36"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H60">
        <v>7</v>
      </c>
      <c r="AI60">
        <v>1</v>
      </c>
      <c r="AJ60">
        <v>7</v>
      </c>
    </row>
    <row r="61" spans="1:36"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H61">
        <v>5</v>
      </c>
      <c r="AI61">
        <v>0</v>
      </c>
      <c r="AJ61">
        <v>7</v>
      </c>
    </row>
    <row r="62" spans="1:36"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H62">
        <v>8</v>
      </c>
      <c r="AI62">
        <v>7</v>
      </c>
      <c r="AJ62">
        <v>8</v>
      </c>
    </row>
    <row r="63" spans="1:36"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H63">
        <v>3</v>
      </c>
      <c r="AI63">
        <v>9</v>
      </c>
      <c r="AJ63">
        <v>9</v>
      </c>
    </row>
    <row r="64" spans="1:36"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H64">
        <v>3</v>
      </c>
      <c r="AI64">
        <v>13</v>
      </c>
      <c r="AJ64">
        <v>8</v>
      </c>
    </row>
    <row r="65" spans="1:36"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H65">
        <v>16</v>
      </c>
      <c r="AI65">
        <v>7</v>
      </c>
      <c r="AJ65">
        <v>9</v>
      </c>
    </row>
    <row r="66" spans="1:36"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H66">
        <v>14</v>
      </c>
      <c r="AI66">
        <v>12</v>
      </c>
      <c r="AJ66">
        <v>8</v>
      </c>
    </row>
    <row r="67" spans="1:36"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H67">
        <v>0</v>
      </c>
      <c r="AI67">
        <v>0</v>
      </c>
      <c r="AJ67">
        <v>2</v>
      </c>
    </row>
    <row r="68" spans="1:36"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H68">
        <v>5</v>
      </c>
      <c r="AI68">
        <v>0</v>
      </c>
      <c r="AJ68">
        <v>3</v>
      </c>
    </row>
    <row r="69" spans="1:36"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H69">
        <v>0</v>
      </c>
      <c r="AI69">
        <v>0</v>
      </c>
      <c r="AJ69">
        <v>0</v>
      </c>
    </row>
    <row r="70" spans="1:36"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H70">
        <v>2</v>
      </c>
      <c r="AI70">
        <v>1</v>
      </c>
      <c r="AJ70">
        <v>2</v>
      </c>
    </row>
    <row r="71" spans="1:36"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H71">
        <v>0</v>
      </c>
      <c r="AI71">
        <v>0</v>
      </c>
      <c r="AJ71">
        <v>0</v>
      </c>
    </row>
    <row r="72" spans="1:36"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H72">
        <v>3</v>
      </c>
      <c r="AI72">
        <v>1</v>
      </c>
      <c r="AJ72">
        <v>3</v>
      </c>
    </row>
    <row r="73" spans="1:36"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H73">
        <v>4</v>
      </c>
      <c r="AI73">
        <v>0</v>
      </c>
      <c r="AJ73">
        <v>4</v>
      </c>
    </row>
    <row r="74" spans="1:36"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H74">
        <v>1</v>
      </c>
      <c r="AI74">
        <v>1</v>
      </c>
      <c r="AJ74">
        <v>0</v>
      </c>
    </row>
    <row r="75" spans="1:36"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H75">
        <v>4</v>
      </c>
      <c r="AI75">
        <v>0</v>
      </c>
      <c r="AJ75">
        <v>9</v>
      </c>
    </row>
    <row r="76" spans="1:36"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H76">
        <v>0</v>
      </c>
      <c r="AI76">
        <v>0</v>
      </c>
      <c r="AJ76">
        <v>0</v>
      </c>
    </row>
    <row r="77" spans="1:36"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H77">
        <v>7</v>
      </c>
      <c r="AI77">
        <v>1</v>
      </c>
      <c r="AJ77">
        <v>8</v>
      </c>
    </row>
    <row r="78" spans="1:36"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H78">
        <v>13</v>
      </c>
      <c r="AI78">
        <v>2</v>
      </c>
      <c r="AJ78">
        <v>8</v>
      </c>
    </row>
    <row r="79" spans="1:36"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H79">
        <v>0</v>
      </c>
      <c r="AI79">
        <v>0</v>
      </c>
      <c r="AJ79">
        <v>0</v>
      </c>
    </row>
    <row r="80" spans="1:36"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H80">
        <v>2</v>
      </c>
      <c r="AI80">
        <v>0</v>
      </c>
      <c r="AJ80">
        <v>2</v>
      </c>
    </row>
    <row r="81" spans="1:36"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H81">
        <v>2</v>
      </c>
      <c r="AI81">
        <v>0</v>
      </c>
      <c r="AJ81">
        <v>2</v>
      </c>
    </row>
    <row r="82" spans="1:36"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H82">
        <v>8</v>
      </c>
      <c r="AI82">
        <v>3</v>
      </c>
      <c r="AJ82">
        <v>0</v>
      </c>
    </row>
    <row r="83" spans="1:36"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H83">
        <v>4</v>
      </c>
      <c r="AI83">
        <v>0</v>
      </c>
      <c r="AJ83">
        <v>4</v>
      </c>
    </row>
    <row r="84" spans="1:36"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H84">
        <v>0</v>
      </c>
      <c r="AI84">
        <v>1</v>
      </c>
      <c r="AJ84">
        <v>0</v>
      </c>
    </row>
    <row r="85" spans="1:36"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H85">
        <v>11</v>
      </c>
      <c r="AI85">
        <v>1</v>
      </c>
      <c r="AJ85">
        <v>9</v>
      </c>
    </row>
    <row r="86" spans="1:36"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H86">
        <v>2</v>
      </c>
      <c r="AI86">
        <v>1</v>
      </c>
      <c r="AJ86">
        <v>3</v>
      </c>
    </row>
    <row r="87" spans="1:36"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H87">
        <v>4</v>
      </c>
      <c r="AI87">
        <v>0</v>
      </c>
      <c r="AJ87">
        <v>2</v>
      </c>
    </row>
    <row r="88" spans="1:36"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H88">
        <v>0</v>
      </c>
      <c r="AI88">
        <v>0</v>
      </c>
      <c r="AJ88">
        <v>0</v>
      </c>
    </row>
    <row r="89" spans="1:36"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H89">
        <v>2</v>
      </c>
      <c r="AI89">
        <v>0</v>
      </c>
      <c r="AJ89">
        <v>3</v>
      </c>
    </row>
    <row r="90" spans="1:36"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H90">
        <v>10</v>
      </c>
      <c r="AI90">
        <v>10</v>
      </c>
      <c r="AJ90">
        <v>8</v>
      </c>
    </row>
    <row r="91" spans="1:36"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H91">
        <v>8</v>
      </c>
      <c r="AI91">
        <v>4</v>
      </c>
      <c r="AJ91">
        <v>7</v>
      </c>
    </row>
    <row r="92" spans="1:36"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H92">
        <v>3</v>
      </c>
      <c r="AI92">
        <v>11</v>
      </c>
      <c r="AJ92">
        <v>11</v>
      </c>
    </row>
    <row r="93" spans="1:36"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H93">
        <v>7</v>
      </c>
      <c r="AI93">
        <v>1</v>
      </c>
      <c r="AJ93">
        <v>0</v>
      </c>
    </row>
    <row r="94" spans="1:36"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H94">
        <v>8</v>
      </c>
      <c r="AI94">
        <v>2</v>
      </c>
      <c r="AJ94">
        <v>7</v>
      </c>
    </row>
    <row r="95" spans="1:36"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H95">
        <v>9</v>
      </c>
      <c r="AI95">
        <v>9</v>
      </c>
      <c r="AJ95">
        <v>5</v>
      </c>
    </row>
    <row r="96" spans="1:36"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H96">
        <v>8</v>
      </c>
      <c r="AI96">
        <v>5</v>
      </c>
      <c r="AJ96">
        <v>7</v>
      </c>
    </row>
    <row r="97" spans="1:36"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H97">
        <v>3</v>
      </c>
      <c r="AI97">
        <v>0</v>
      </c>
      <c r="AJ97">
        <v>3</v>
      </c>
    </row>
    <row r="98" spans="1:36"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H98">
        <v>2</v>
      </c>
      <c r="AI98">
        <v>0</v>
      </c>
      <c r="AJ98">
        <v>2</v>
      </c>
    </row>
    <row r="99" spans="1:36"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H99">
        <v>4</v>
      </c>
      <c r="AI99">
        <v>0</v>
      </c>
      <c r="AJ99">
        <v>4</v>
      </c>
    </row>
    <row r="100" spans="1:36"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H100">
        <v>10</v>
      </c>
      <c r="AI100">
        <v>1</v>
      </c>
      <c r="AJ100">
        <v>8</v>
      </c>
    </row>
    <row r="101" spans="1:36"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H101">
        <v>2</v>
      </c>
      <c r="AI101">
        <v>1</v>
      </c>
      <c r="AJ101">
        <v>2</v>
      </c>
    </row>
    <row r="102" spans="1:36"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H102">
        <v>2</v>
      </c>
      <c r="AI102">
        <v>0</v>
      </c>
      <c r="AJ102">
        <v>2</v>
      </c>
    </row>
    <row r="103" spans="1:36"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H103">
        <v>0</v>
      </c>
      <c r="AI103">
        <v>0</v>
      </c>
      <c r="AJ103">
        <v>0</v>
      </c>
    </row>
    <row r="104" spans="1:36"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H104">
        <v>0</v>
      </c>
      <c r="AI104">
        <v>1</v>
      </c>
      <c r="AJ104">
        <v>0</v>
      </c>
    </row>
    <row r="105" spans="1:36"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H105">
        <v>13</v>
      </c>
      <c r="AI105">
        <v>2</v>
      </c>
      <c r="AJ105">
        <v>10</v>
      </c>
    </row>
    <row r="106" spans="1:36"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H106">
        <v>0</v>
      </c>
      <c r="AI106">
        <v>0</v>
      </c>
      <c r="AJ106">
        <v>0</v>
      </c>
    </row>
    <row r="107" spans="1:36"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H107">
        <v>2</v>
      </c>
      <c r="AI107">
        <v>2</v>
      </c>
      <c r="AJ107">
        <v>2</v>
      </c>
    </row>
    <row r="108" spans="1:36"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H108">
        <v>3</v>
      </c>
      <c r="AI108">
        <v>0</v>
      </c>
      <c r="AJ108">
        <v>7</v>
      </c>
    </row>
    <row r="109" spans="1:36"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H109">
        <v>4</v>
      </c>
      <c r="AI109">
        <v>0</v>
      </c>
      <c r="AJ109">
        <v>3</v>
      </c>
    </row>
    <row r="110" spans="1:36"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H110">
        <v>2</v>
      </c>
      <c r="AI110">
        <v>2</v>
      </c>
      <c r="AJ110">
        <v>1</v>
      </c>
    </row>
    <row r="111" spans="1:36"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H111">
        <v>0</v>
      </c>
      <c r="AI111">
        <v>0</v>
      </c>
      <c r="AJ111">
        <v>0</v>
      </c>
    </row>
    <row r="112" spans="1:36"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H112">
        <v>12</v>
      </c>
      <c r="AI112">
        <v>12</v>
      </c>
      <c r="AJ112">
        <v>8</v>
      </c>
    </row>
    <row r="113" spans="1:36"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H113">
        <v>7</v>
      </c>
      <c r="AI113">
        <v>0</v>
      </c>
      <c r="AJ113">
        <v>6</v>
      </c>
    </row>
    <row r="114" spans="1:36"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H114">
        <v>3</v>
      </c>
      <c r="AI114">
        <v>4</v>
      </c>
      <c r="AJ114">
        <v>4</v>
      </c>
    </row>
    <row r="115" spans="1:36"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H115">
        <v>3</v>
      </c>
      <c r="AI115">
        <v>1</v>
      </c>
      <c r="AJ115">
        <v>2</v>
      </c>
    </row>
    <row r="116" spans="1:36"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H116">
        <v>0</v>
      </c>
      <c r="AI116">
        <v>0</v>
      </c>
      <c r="AJ116">
        <v>0</v>
      </c>
    </row>
    <row r="117" spans="1:36"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H117">
        <v>3</v>
      </c>
      <c r="AI117">
        <v>1</v>
      </c>
      <c r="AJ117">
        <v>3</v>
      </c>
    </row>
    <row r="118" spans="1:36"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H118">
        <v>10</v>
      </c>
      <c r="AI118">
        <v>5</v>
      </c>
      <c r="AJ118">
        <v>8</v>
      </c>
    </row>
    <row r="119" spans="1:36"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H119">
        <v>7</v>
      </c>
      <c r="AI119">
        <v>2</v>
      </c>
      <c r="AJ119">
        <v>8</v>
      </c>
    </row>
    <row r="120" spans="1:36"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H120">
        <v>0</v>
      </c>
      <c r="AI120">
        <v>0</v>
      </c>
      <c r="AJ120">
        <v>0</v>
      </c>
    </row>
    <row r="121" spans="1:36"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H121">
        <v>12</v>
      </c>
      <c r="AI121">
        <v>4</v>
      </c>
      <c r="AJ121">
        <v>12</v>
      </c>
    </row>
    <row r="122" spans="1:36"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H122">
        <v>7</v>
      </c>
      <c r="AI122">
        <v>0</v>
      </c>
      <c r="AJ122">
        <v>9</v>
      </c>
    </row>
    <row r="123" spans="1:36"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H123">
        <v>7</v>
      </c>
      <c r="AI123">
        <v>0</v>
      </c>
      <c r="AJ123">
        <v>7</v>
      </c>
    </row>
    <row r="124" spans="1:36"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H124">
        <v>4</v>
      </c>
      <c r="AI124">
        <v>4</v>
      </c>
      <c r="AJ124">
        <v>3</v>
      </c>
    </row>
    <row r="125" spans="1:36"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H125">
        <v>18</v>
      </c>
      <c r="AI125">
        <v>15</v>
      </c>
      <c r="AJ125">
        <v>15</v>
      </c>
    </row>
    <row r="126" spans="1:36"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H126">
        <v>7</v>
      </c>
      <c r="AI126">
        <v>7</v>
      </c>
      <c r="AJ126">
        <v>7</v>
      </c>
    </row>
    <row r="127" spans="1:36"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H127">
        <v>4</v>
      </c>
      <c r="AI127">
        <v>4</v>
      </c>
      <c r="AJ127">
        <v>3</v>
      </c>
    </row>
    <row r="128" spans="1:36"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H128">
        <v>10</v>
      </c>
      <c r="AI128">
        <v>15</v>
      </c>
      <c r="AJ128">
        <v>6</v>
      </c>
    </row>
    <row r="129" spans="1:36"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H129">
        <v>0</v>
      </c>
      <c r="AI129">
        <v>0</v>
      </c>
      <c r="AJ129">
        <v>0</v>
      </c>
    </row>
    <row r="130" spans="1:36"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H130">
        <v>1</v>
      </c>
      <c r="AI130">
        <v>2</v>
      </c>
      <c r="AJ130">
        <v>1</v>
      </c>
    </row>
    <row r="131" spans="1:36"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H131">
        <v>11</v>
      </c>
      <c r="AI131">
        <v>5</v>
      </c>
      <c r="AJ131">
        <v>11</v>
      </c>
    </row>
    <row r="132" spans="1:36"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H132">
        <v>2</v>
      </c>
      <c r="AI132">
        <v>1</v>
      </c>
      <c r="AJ132">
        <v>2</v>
      </c>
    </row>
    <row r="133" spans="1:36"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H133">
        <v>2</v>
      </c>
      <c r="AI133">
        <v>2</v>
      </c>
      <c r="AJ133">
        <v>1</v>
      </c>
    </row>
    <row r="134" spans="1:36"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H134">
        <v>2</v>
      </c>
      <c r="AI134">
        <v>2</v>
      </c>
      <c r="AJ134">
        <v>2</v>
      </c>
    </row>
    <row r="135" spans="1:36"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H135">
        <v>7</v>
      </c>
      <c r="AI135">
        <v>0</v>
      </c>
      <c r="AJ135">
        <v>7</v>
      </c>
    </row>
    <row r="136" spans="1:36"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H136">
        <v>7</v>
      </c>
      <c r="AI136">
        <v>5</v>
      </c>
      <c r="AJ136">
        <v>7</v>
      </c>
    </row>
    <row r="137" spans="1:36"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H137">
        <v>2</v>
      </c>
      <c r="AI137">
        <v>0</v>
      </c>
      <c r="AJ137">
        <v>1</v>
      </c>
    </row>
    <row r="138" spans="1:36"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H138">
        <v>2</v>
      </c>
      <c r="AI138">
        <v>0</v>
      </c>
      <c r="AJ138">
        <v>3</v>
      </c>
    </row>
    <row r="139" spans="1:36"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H139">
        <v>11</v>
      </c>
      <c r="AI139">
        <v>5</v>
      </c>
      <c r="AJ139">
        <v>9</v>
      </c>
    </row>
    <row r="140" spans="1:36"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H140">
        <v>2</v>
      </c>
      <c r="AI140">
        <v>2</v>
      </c>
      <c r="AJ140">
        <v>2</v>
      </c>
    </row>
    <row r="141" spans="1:36"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H141">
        <v>9</v>
      </c>
      <c r="AI141">
        <v>4</v>
      </c>
      <c r="AJ141">
        <v>7</v>
      </c>
    </row>
    <row r="142" spans="1:36"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H142">
        <v>4</v>
      </c>
      <c r="AI142">
        <v>0</v>
      </c>
      <c r="AJ142">
        <v>4</v>
      </c>
    </row>
    <row r="143" spans="1:36"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H143">
        <v>5</v>
      </c>
      <c r="AI143">
        <v>0</v>
      </c>
      <c r="AJ143">
        <v>3</v>
      </c>
    </row>
    <row r="144" spans="1:36"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H144">
        <v>2</v>
      </c>
      <c r="AI144">
        <v>2</v>
      </c>
      <c r="AJ144">
        <v>2</v>
      </c>
    </row>
    <row r="145" spans="1:36"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H145">
        <v>4</v>
      </c>
      <c r="AI145">
        <v>0</v>
      </c>
      <c r="AJ145">
        <v>4</v>
      </c>
    </row>
    <row r="146" spans="1:36"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H146">
        <v>7</v>
      </c>
      <c r="AI146">
        <v>0</v>
      </c>
      <c r="AJ146">
        <v>7</v>
      </c>
    </row>
    <row r="147" spans="1:36"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H147">
        <v>2</v>
      </c>
      <c r="AI147">
        <v>2</v>
      </c>
      <c r="AJ147">
        <v>2</v>
      </c>
    </row>
    <row r="148" spans="1:36"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H148">
        <v>3</v>
      </c>
      <c r="AI148">
        <v>1</v>
      </c>
      <c r="AJ148">
        <v>2</v>
      </c>
    </row>
    <row r="149" spans="1:36"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H149">
        <v>6</v>
      </c>
      <c r="AI149">
        <v>7</v>
      </c>
      <c r="AJ149">
        <v>7</v>
      </c>
    </row>
    <row r="150" spans="1:36"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H150">
        <v>0</v>
      </c>
      <c r="AI150">
        <v>1</v>
      </c>
      <c r="AJ150">
        <v>4</v>
      </c>
    </row>
    <row r="151" spans="1:36"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H151">
        <v>0</v>
      </c>
      <c r="AI151">
        <v>0</v>
      </c>
      <c r="AJ151">
        <v>0</v>
      </c>
    </row>
    <row r="152" spans="1:36"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H152">
        <v>7</v>
      </c>
      <c r="AI152">
        <v>2</v>
      </c>
      <c r="AJ152">
        <v>13</v>
      </c>
    </row>
    <row r="153" spans="1:36"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H153">
        <v>8</v>
      </c>
      <c r="AI153">
        <v>0</v>
      </c>
      <c r="AJ153">
        <v>6</v>
      </c>
    </row>
    <row r="154" spans="1:36"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H154">
        <v>7</v>
      </c>
      <c r="AI154">
        <v>4</v>
      </c>
      <c r="AJ154">
        <v>5</v>
      </c>
    </row>
    <row r="155" spans="1:36"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H155">
        <v>9</v>
      </c>
      <c r="AI155">
        <v>0</v>
      </c>
      <c r="AJ155">
        <v>15</v>
      </c>
    </row>
    <row r="156" spans="1:36"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H156">
        <v>8</v>
      </c>
      <c r="AI156">
        <v>3</v>
      </c>
      <c r="AJ156">
        <v>7</v>
      </c>
    </row>
    <row r="157" spans="1:36"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H157">
        <v>7</v>
      </c>
      <c r="AI157">
        <v>0</v>
      </c>
      <c r="AJ157">
        <v>9</v>
      </c>
    </row>
    <row r="158" spans="1:36"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H158">
        <v>0</v>
      </c>
      <c r="AI158">
        <v>0</v>
      </c>
      <c r="AJ158">
        <v>0</v>
      </c>
    </row>
    <row r="159" spans="1:36"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H159">
        <v>0</v>
      </c>
      <c r="AI159">
        <v>0</v>
      </c>
      <c r="AJ159">
        <v>0</v>
      </c>
    </row>
    <row r="160" spans="1:36"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H160">
        <v>11</v>
      </c>
      <c r="AI160">
        <v>2</v>
      </c>
      <c r="AJ160">
        <v>11</v>
      </c>
    </row>
    <row r="161" spans="1:36"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H161">
        <v>3</v>
      </c>
      <c r="AI161">
        <v>1</v>
      </c>
      <c r="AJ161">
        <v>2</v>
      </c>
    </row>
    <row r="162" spans="1:36"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H162">
        <v>2</v>
      </c>
      <c r="AI162">
        <v>2</v>
      </c>
      <c r="AJ162">
        <v>2</v>
      </c>
    </row>
    <row r="163" spans="1:36"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H163">
        <v>2</v>
      </c>
      <c r="AI163">
        <v>2</v>
      </c>
      <c r="AJ163">
        <v>2</v>
      </c>
    </row>
    <row r="164" spans="1:36"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H164">
        <v>2</v>
      </c>
      <c r="AI164">
        <v>0</v>
      </c>
      <c r="AJ164">
        <v>2</v>
      </c>
    </row>
    <row r="165" spans="1:36"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H165">
        <v>3</v>
      </c>
      <c r="AI165">
        <v>1</v>
      </c>
      <c r="AJ165">
        <v>4</v>
      </c>
    </row>
    <row r="166" spans="1:36"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H166">
        <v>1</v>
      </c>
      <c r="AI166">
        <v>0</v>
      </c>
      <c r="AJ166">
        <v>1</v>
      </c>
    </row>
    <row r="167" spans="1:36"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H167">
        <v>4</v>
      </c>
      <c r="AI167">
        <v>4</v>
      </c>
      <c r="AJ167">
        <v>4</v>
      </c>
    </row>
    <row r="168" spans="1:36"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H168">
        <v>8</v>
      </c>
      <c r="AI168">
        <v>1</v>
      </c>
      <c r="AJ168">
        <v>8</v>
      </c>
    </row>
    <row r="169" spans="1:36"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H169">
        <v>9</v>
      </c>
      <c r="AI169">
        <v>7</v>
      </c>
      <c r="AJ169">
        <v>4</v>
      </c>
    </row>
    <row r="170" spans="1:36"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H170">
        <v>3</v>
      </c>
      <c r="AI170">
        <v>0</v>
      </c>
      <c r="AJ170">
        <v>7</v>
      </c>
    </row>
    <row r="171" spans="1:36"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H171">
        <v>4</v>
      </c>
      <c r="AI171">
        <v>1</v>
      </c>
      <c r="AJ171">
        <v>4</v>
      </c>
    </row>
    <row r="172" spans="1:36"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H172">
        <v>2</v>
      </c>
      <c r="AI172">
        <v>1</v>
      </c>
      <c r="AJ172">
        <v>1</v>
      </c>
    </row>
    <row r="173" spans="1:36"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H173">
        <v>0</v>
      </c>
      <c r="AI173">
        <v>0</v>
      </c>
      <c r="AJ173">
        <v>0</v>
      </c>
    </row>
    <row r="174" spans="1:36"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H174">
        <v>7</v>
      </c>
      <c r="AI174">
        <v>7</v>
      </c>
      <c r="AJ174">
        <v>2</v>
      </c>
    </row>
    <row r="175" spans="1:36"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H175">
        <v>9</v>
      </c>
      <c r="AI175">
        <v>6</v>
      </c>
      <c r="AJ175">
        <v>10</v>
      </c>
    </row>
    <row r="176" spans="1:36"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H176">
        <v>4</v>
      </c>
      <c r="AI176">
        <v>0</v>
      </c>
      <c r="AJ176">
        <v>3</v>
      </c>
    </row>
    <row r="177" spans="1:36"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H177">
        <v>2</v>
      </c>
      <c r="AI177">
        <v>2</v>
      </c>
      <c r="AJ177">
        <v>2</v>
      </c>
    </row>
    <row r="178" spans="1:36"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H178">
        <v>1</v>
      </c>
      <c r="AI178">
        <v>0</v>
      </c>
      <c r="AJ178">
        <v>2</v>
      </c>
    </row>
    <row r="179" spans="1:36"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H179">
        <v>0</v>
      </c>
      <c r="AI179">
        <v>1</v>
      </c>
      <c r="AJ179">
        <v>0</v>
      </c>
    </row>
    <row r="180" spans="1:36"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H180">
        <v>13</v>
      </c>
      <c r="AI180">
        <v>15</v>
      </c>
      <c r="AJ180">
        <v>7</v>
      </c>
    </row>
    <row r="181" spans="1:36"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H181">
        <v>2</v>
      </c>
      <c r="AI181">
        <v>2</v>
      </c>
      <c r="AJ181">
        <v>1</v>
      </c>
    </row>
    <row r="182" spans="1:36"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H182">
        <v>2</v>
      </c>
      <c r="AI182">
        <v>0</v>
      </c>
      <c r="AJ182">
        <v>2</v>
      </c>
    </row>
    <row r="183" spans="1:36"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H183">
        <v>2</v>
      </c>
      <c r="AI183">
        <v>1</v>
      </c>
      <c r="AJ183">
        <v>2</v>
      </c>
    </row>
    <row r="184" spans="1:36"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H184">
        <v>3</v>
      </c>
      <c r="AI184">
        <v>0</v>
      </c>
      <c r="AJ184">
        <v>2</v>
      </c>
    </row>
    <row r="185" spans="1:36"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H185">
        <v>2</v>
      </c>
      <c r="AI185">
        <v>0</v>
      </c>
      <c r="AJ185">
        <v>2</v>
      </c>
    </row>
    <row r="186" spans="1:36"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H186">
        <v>2</v>
      </c>
      <c r="AI186">
        <v>1</v>
      </c>
      <c r="AJ186">
        <v>3</v>
      </c>
    </row>
    <row r="187" spans="1:36"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H187">
        <v>7</v>
      </c>
      <c r="AI187">
        <v>1</v>
      </c>
      <c r="AJ187">
        <v>6</v>
      </c>
    </row>
    <row r="188" spans="1:36"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H188">
        <v>8</v>
      </c>
      <c r="AI188">
        <v>9</v>
      </c>
      <c r="AJ188">
        <v>9</v>
      </c>
    </row>
    <row r="189" spans="1:36"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H189">
        <v>15</v>
      </c>
      <c r="AI189">
        <v>2</v>
      </c>
      <c r="AJ189">
        <v>15</v>
      </c>
    </row>
    <row r="190" spans="1:36"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H190">
        <v>9</v>
      </c>
      <c r="AI190">
        <v>1</v>
      </c>
      <c r="AJ190">
        <v>9</v>
      </c>
    </row>
    <row r="191" spans="1:36"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H191">
        <v>7</v>
      </c>
      <c r="AI191">
        <v>1</v>
      </c>
      <c r="AJ191">
        <v>0</v>
      </c>
    </row>
    <row r="192" spans="1:36"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H192">
        <v>18</v>
      </c>
      <c r="AI192">
        <v>11</v>
      </c>
      <c r="AJ192">
        <v>9</v>
      </c>
    </row>
    <row r="193" spans="1:36"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H193">
        <v>7</v>
      </c>
      <c r="AI193">
        <v>0</v>
      </c>
      <c r="AJ193">
        <v>3</v>
      </c>
    </row>
    <row r="194" spans="1:36"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H194">
        <v>0</v>
      </c>
      <c r="AI194">
        <v>0</v>
      </c>
      <c r="AJ194">
        <v>1</v>
      </c>
    </row>
    <row r="195" spans="1:36"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H195">
        <v>4</v>
      </c>
      <c r="AI195">
        <v>2</v>
      </c>
      <c r="AJ195">
        <v>2</v>
      </c>
    </row>
    <row r="196" spans="1:36"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H196">
        <v>8</v>
      </c>
      <c r="AI196">
        <v>11</v>
      </c>
      <c r="AJ196">
        <v>8</v>
      </c>
    </row>
    <row r="197" spans="1:36"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H197">
        <v>7</v>
      </c>
      <c r="AI197">
        <v>1</v>
      </c>
      <c r="AJ197">
        <v>7</v>
      </c>
    </row>
    <row r="198" spans="1:36"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H198">
        <v>2</v>
      </c>
      <c r="AI198">
        <v>1</v>
      </c>
      <c r="AJ198">
        <v>2</v>
      </c>
    </row>
    <row r="199" spans="1:36"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H199">
        <v>3</v>
      </c>
      <c r="AI199">
        <v>0</v>
      </c>
      <c r="AJ199">
        <v>2</v>
      </c>
    </row>
    <row r="200" spans="1:36"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H200">
        <v>0</v>
      </c>
      <c r="AI200">
        <v>0</v>
      </c>
      <c r="AJ200">
        <v>0</v>
      </c>
    </row>
    <row r="201" spans="1:36"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H201">
        <v>7</v>
      </c>
      <c r="AI201">
        <v>1</v>
      </c>
      <c r="AJ201">
        <v>7</v>
      </c>
    </row>
    <row r="202" spans="1:36"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H202">
        <v>2</v>
      </c>
      <c r="AI202">
        <v>2</v>
      </c>
      <c r="AJ202">
        <v>0</v>
      </c>
    </row>
    <row r="203" spans="1:36"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H203">
        <v>7</v>
      </c>
      <c r="AI203">
        <v>1</v>
      </c>
      <c r="AJ203">
        <v>7</v>
      </c>
    </row>
    <row r="204" spans="1:36"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H204">
        <v>3</v>
      </c>
      <c r="AI204">
        <v>2</v>
      </c>
      <c r="AJ204">
        <v>0</v>
      </c>
    </row>
    <row r="205" spans="1:36"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H205">
        <v>2</v>
      </c>
      <c r="AI205">
        <v>3</v>
      </c>
      <c r="AJ205">
        <v>7</v>
      </c>
    </row>
    <row r="206" spans="1:36"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H206">
        <v>0</v>
      </c>
      <c r="AI206">
        <v>0</v>
      </c>
      <c r="AJ206">
        <v>0</v>
      </c>
    </row>
    <row r="207" spans="1:36"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H207">
        <v>4</v>
      </c>
      <c r="AI207">
        <v>1</v>
      </c>
      <c r="AJ207">
        <v>9</v>
      </c>
    </row>
    <row r="208" spans="1:36"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H208">
        <v>2</v>
      </c>
      <c r="AI208">
        <v>2</v>
      </c>
      <c r="AJ208">
        <v>2</v>
      </c>
    </row>
    <row r="209" spans="1:36"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H209">
        <v>1</v>
      </c>
      <c r="AI209">
        <v>1</v>
      </c>
      <c r="AJ209">
        <v>7</v>
      </c>
    </row>
    <row r="210" spans="1:36"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H210">
        <v>2</v>
      </c>
      <c r="AI210">
        <v>0</v>
      </c>
      <c r="AJ210">
        <v>2</v>
      </c>
    </row>
    <row r="211" spans="1:36"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H211">
        <v>2</v>
      </c>
      <c r="AI211">
        <v>0</v>
      </c>
      <c r="AJ211">
        <v>3</v>
      </c>
    </row>
    <row r="212" spans="1:36"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H212">
        <v>8</v>
      </c>
      <c r="AI212">
        <v>9</v>
      </c>
      <c r="AJ212">
        <v>8</v>
      </c>
    </row>
    <row r="213" spans="1:36"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H213">
        <v>8</v>
      </c>
      <c r="AI213">
        <v>5</v>
      </c>
      <c r="AJ213">
        <v>8</v>
      </c>
    </row>
    <row r="214" spans="1:36"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H214">
        <v>7</v>
      </c>
      <c r="AI214">
        <v>0</v>
      </c>
      <c r="AJ214">
        <v>7</v>
      </c>
    </row>
    <row r="215" spans="1:36"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H215">
        <v>9</v>
      </c>
      <c r="AI215">
        <v>4</v>
      </c>
      <c r="AJ215">
        <v>7</v>
      </c>
    </row>
    <row r="216" spans="1:36"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H216">
        <v>2</v>
      </c>
      <c r="AI216">
        <v>0</v>
      </c>
      <c r="AJ216">
        <v>4</v>
      </c>
    </row>
    <row r="217" spans="1:36"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H217">
        <v>0</v>
      </c>
      <c r="AI217">
        <v>0</v>
      </c>
      <c r="AJ217">
        <v>0</v>
      </c>
    </row>
    <row r="218" spans="1:36"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H218">
        <v>3</v>
      </c>
      <c r="AI218">
        <v>0</v>
      </c>
      <c r="AJ218">
        <v>1</v>
      </c>
    </row>
    <row r="219" spans="1:36"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H219">
        <v>2</v>
      </c>
      <c r="AI219">
        <v>1</v>
      </c>
      <c r="AJ219">
        <v>5</v>
      </c>
    </row>
    <row r="220" spans="1:36"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H220">
        <v>7</v>
      </c>
      <c r="AI220">
        <v>12</v>
      </c>
      <c r="AJ220">
        <v>8</v>
      </c>
    </row>
    <row r="221" spans="1:36"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H221">
        <v>2</v>
      </c>
      <c r="AI221">
        <v>0</v>
      </c>
      <c r="AJ221">
        <v>5</v>
      </c>
    </row>
    <row r="222" spans="1:36"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H222">
        <v>11</v>
      </c>
      <c r="AI222">
        <v>3</v>
      </c>
      <c r="AJ222">
        <v>7</v>
      </c>
    </row>
    <row r="223" spans="1:36"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H223">
        <v>2</v>
      </c>
      <c r="AI223">
        <v>1</v>
      </c>
      <c r="AJ223">
        <v>1</v>
      </c>
    </row>
    <row r="224" spans="1:36"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H224">
        <v>8</v>
      </c>
      <c r="AI224">
        <v>0</v>
      </c>
      <c r="AJ224">
        <v>7</v>
      </c>
    </row>
    <row r="225" spans="1:36"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H225">
        <v>10</v>
      </c>
      <c r="AI225">
        <v>5</v>
      </c>
      <c r="AJ225">
        <v>13</v>
      </c>
    </row>
    <row r="226" spans="1:36"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H226">
        <v>4</v>
      </c>
      <c r="AI226">
        <v>1</v>
      </c>
      <c r="AJ226">
        <v>4</v>
      </c>
    </row>
    <row r="227" spans="1:36"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H227">
        <v>0</v>
      </c>
      <c r="AI227">
        <v>0</v>
      </c>
      <c r="AJ227">
        <v>0</v>
      </c>
    </row>
    <row r="228" spans="1:36"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H228">
        <v>8</v>
      </c>
      <c r="AI228">
        <v>5</v>
      </c>
      <c r="AJ228">
        <v>8</v>
      </c>
    </row>
    <row r="229" spans="1:36"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H229">
        <v>10</v>
      </c>
      <c r="AI229">
        <v>4</v>
      </c>
      <c r="AJ229">
        <v>1</v>
      </c>
    </row>
    <row r="230" spans="1:36"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H230">
        <v>7</v>
      </c>
      <c r="AI230">
        <v>0</v>
      </c>
      <c r="AJ230">
        <v>8</v>
      </c>
    </row>
    <row r="231" spans="1:36"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H231">
        <v>3</v>
      </c>
      <c r="AI231">
        <v>0</v>
      </c>
      <c r="AJ231">
        <v>1</v>
      </c>
    </row>
    <row r="232" spans="1:36"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H232">
        <v>2</v>
      </c>
      <c r="AI232">
        <v>2</v>
      </c>
      <c r="AJ232">
        <v>2</v>
      </c>
    </row>
    <row r="233" spans="1:36"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H233">
        <v>17</v>
      </c>
      <c r="AI233">
        <v>11</v>
      </c>
      <c r="AJ233">
        <v>15</v>
      </c>
    </row>
    <row r="234" spans="1:36"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H234">
        <v>2</v>
      </c>
      <c r="AI234">
        <v>2</v>
      </c>
      <c r="AJ234">
        <v>2</v>
      </c>
    </row>
    <row r="235" spans="1:36"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H235">
        <v>0</v>
      </c>
      <c r="AI235">
        <v>0</v>
      </c>
      <c r="AJ235">
        <v>6</v>
      </c>
    </row>
    <row r="236" spans="1:36"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H236">
        <v>4</v>
      </c>
      <c r="AI236">
        <v>0</v>
      </c>
      <c r="AJ236">
        <v>4</v>
      </c>
    </row>
    <row r="237" spans="1:36"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H237">
        <v>13</v>
      </c>
      <c r="AI237">
        <v>1</v>
      </c>
      <c r="AJ237">
        <v>9</v>
      </c>
    </row>
    <row r="238" spans="1:36"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H238">
        <v>7</v>
      </c>
      <c r="AI238">
        <v>1</v>
      </c>
      <c r="AJ238">
        <v>7</v>
      </c>
    </row>
    <row r="239" spans="1:36"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H239">
        <v>7</v>
      </c>
      <c r="AI239">
        <v>15</v>
      </c>
      <c r="AJ239">
        <v>12</v>
      </c>
    </row>
    <row r="240" spans="1:36"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H240">
        <v>3</v>
      </c>
      <c r="AI240">
        <v>1</v>
      </c>
      <c r="AJ240">
        <v>2</v>
      </c>
    </row>
    <row r="241" spans="1:36"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H241">
        <v>2</v>
      </c>
      <c r="AI241">
        <v>1</v>
      </c>
      <c r="AJ241">
        <v>2</v>
      </c>
    </row>
    <row r="242" spans="1:36"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H242">
        <v>2</v>
      </c>
      <c r="AI242">
        <v>1</v>
      </c>
      <c r="AJ242">
        <v>2</v>
      </c>
    </row>
    <row r="243" spans="1:36"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H243">
        <v>2</v>
      </c>
      <c r="AI243">
        <v>2</v>
      </c>
      <c r="AJ243">
        <v>2</v>
      </c>
    </row>
    <row r="244" spans="1:36"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H244">
        <v>0</v>
      </c>
      <c r="AI244">
        <v>0</v>
      </c>
      <c r="AJ244">
        <v>0</v>
      </c>
    </row>
    <row r="245" spans="1:36"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H245">
        <v>8</v>
      </c>
      <c r="AI245">
        <v>4</v>
      </c>
      <c r="AJ245">
        <v>7</v>
      </c>
    </row>
    <row r="246" spans="1:36"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H246">
        <v>0</v>
      </c>
      <c r="AI246">
        <v>1</v>
      </c>
      <c r="AJ246">
        <v>7</v>
      </c>
    </row>
    <row r="247" spans="1:36"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H247">
        <v>2</v>
      </c>
      <c r="AI247">
        <v>2</v>
      </c>
      <c r="AJ247">
        <v>2</v>
      </c>
    </row>
    <row r="248" spans="1:36"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H248">
        <v>2</v>
      </c>
      <c r="AI248">
        <v>0</v>
      </c>
      <c r="AJ248">
        <v>2</v>
      </c>
    </row>
    <row r="249" spans="1:36"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H249">
        <v>9</v>
      </c>
      <c r="AI249">
        <v>5</v>
      </c>
      <c r="AJ249">
        <v>9</v>
      </c>
    </row>
    <row r="250" spans="1:36"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H250">
        <v>1</v>
      </c>
      <c r="AI250">
        <v>0</v>
      </c>
      <c r="AJ250">
        <v>2</v>
      </c>
    </row>
    <row r="251" spans="1:36"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H251">
        <v>2</v>
      </c>
      <c r="AI251">
        <v>0</v>
      </c>
      <c r="AJ251">
        <v>2</v>
      </c>
    </row>
    <row r="252" spans="1:36"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H252">
        <v>0</v>
      </c>
      <c r="AI252">
        <v>0</v>
      </c>
      <c r="AJ252">
        <v>0</v>
      </c>
    </row>
    <row r="253" spans="1:36"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H253">
        <v>6</v>
      </c>
      <c r="AI253">
        <v>11</v>
      </c>
      <c r="AJ253">
        <v>8</v>
      </c>
    </row>
    <row r="254" spans="1:36"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H254">
        <v>5</v>
      </c>
      <c r="AI254">
        <v>1</v>
      </c>
      <c r="AJ254">
        <v>5</v>
      </c>
    </row>
    <row r="255" spans="1:36"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H255">
        <v>2</v>
      </c>
      <c r="AI255">
        <v>0</v>
      </c>
      <c r="AJ255">
        <v>2</v>
      </c>
    </row>
    <row r="256" spans="1:36"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H256">
        <v>2</v>
      </c>
      <c r="AI256">
        <v>0</v>
      </c>
      <c r="AJ256">
        <v>2</v>
      </c>
    </row>
    <row r="257" spans="1:36"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H257">
        <v>2</v>
      </c>
      <c r="AI257">
        <v>1</v>
      </c>
      <c r="AJ257">
        <v>2</v>
      </c>
    </row>
    <row r="258" spans="1:36"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H258">
        <v>6</v>
      </c>
      <c r="AI258">
        <v>7</v>
      </c>
      <c r="AJ258">
        <v>8</v>
      </c>
    </row>
    <row r="259" spans="1:36"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H259">
        <v>7</v>
      </c>
      <c r="AI259">
        <v>3</v>
      </c>
      <c r="AJ259">
        <v>9</v>
      </c>
    </row>
    <row r="260" spans="1:36"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H260">
        <v>0</v>
      </c>
      <c r="AI260">
        <v>0</v>
      </c>
      <c r="AJ260">
        <v>0</v>
      </c>
    </row>
    <row r="261" spans="1:36"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H261">
        <v>4</v>
      </c>
      <c r="AI261">
        <v>1</v>
      </c>
      <c r="AJ261">
        <v>4</v>
      </c>
    </row>
    <row r="262" spans="1:36"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H262">
        <v>1</v>
      </c>
      <c r="AI262">
        <v>0</v>
      </c>
      <c r="AJ262">
        <v>3</v>
      </c>
    </row>
    <row r="263" spans="1:36"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H263">
        <v>7</v>
      </c>
      <c r="AI263">
        <v>7</v>
      </c>
      <c r="AJ263">
        <v>5</v>
      </c>
    </row>
    <row r="264" spans="1:36"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H264">
        <v>2</v>
      </c>
      <c r="AI264">
        <v>0</v>
      </c>
      <c r="AJ264">
        <v>4</v>
      </c>
    </row>
    <row r="265" spans="1:36"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H265">
        <v>7</v>
      </c>
      <c r="AI265">
        <v>7</v>
      </c>
      <c r="AJ265">
        <v>7</v>
      </c>
    </row>
    <row r="266" spans="1:36"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H266">
        <v>0</v>
      </c>
      <c r="AI266">
        <v>0</v>
      </c>
      <c r="AJ266">
        <v>0</v>
      </c>
    </row>
    <row r="267" spans="1:36"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H267">
        <v>0</v>
      </c>
      <c r="AI267">
        <v>0</v>
      </c>
      <c r="AJ267">
        <v>0</v>
      </c>
    </row>
    <row r="268" spans="1:36"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H268">
        <v>0</v>
      </c>
      <c r="AI268">
        <v>7</v>
      </c>
      <c r="AJ268">
        <v>8</v>
      </c>
    </row>
    <row r="269" spans="1:36"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H269">
        <v>3</v>
      </c>
      <c r="AI269">
        <v>1</v>
      </c>
      <c r="AJ269">
        <v>5</v>
      </c>
    </row>
    <row r="270" spans="1:36"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H270">
        <v>7</v>
      </c>
      <c r="AI270">
        <v>4</v>
      </c>
      <c r="AJ270">
        <v>10</v>
      </c>
    </row>
    <row r="271" spans="1:36"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H271">
        <v>13</v>
      </c>
      <c r="AI271">
        <v>10</v>
      </c>
      <c r="AJ271">
        <v>11</v>
      </c>
    </row>
    <row r="272" spans="1:36"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H272">
        <v>10</v>
      </c>
      <c r="AI272">
        <v>4</v>
      </c>
      <c r="AJ272">
        <v>13</v>
      </c>
    </row>
    <row r="273" spans="1:36"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H273">
        <v>7</v>
      </c>
      <c r="AI273">
        <v>9</v>
      </c>
      <c r="AJ273">
        <v>9</v>
      </c>
    </row>
    <row r="274" spans="1:36"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H274">
        <v>2</v>
      </c>
      <c r="AI274">
        <v>0</v>
      </c>
      <c r="AJ274">
        <v>4</v>
      </c>
    </row>
    <row r="275" spans="1:36"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H275">
        <v>4</v>
      </c>
      <c r="AI275">
        <v>0</v>
      </c>
      <c r="AJ275">
        <v>1</v>
      </c>
    </row>
    <row r="276" spans="1:36"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H276">
        <v>2</v>
      </c>
      <c r="AI276">
        <v>1</v>
      </c>
      <c r="AJ276">
        <v>0</v>
      </c>
    </row>
    <row r="277" spans="1:36"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H277">
        <v>2</v>
      </c>
      <c r="AI277">
        <v>0</v>
      </c>
      <c r="AJ277">
        <v>2</v>
      </c>
    </row>
    <row r="278" spans="1:36"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H278">
        <v>7</v>
      </c>
      <c r="AI278">
        <v>6</v>
      </c>
      <c r="AJ278">
        <v>2</v>
      </c>
    </row>
    <row r="279" spans="1:36"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H279">
        <v>0</v>
      </c>
      <c r="AI279">
        <v>7</v>
      </c>
      <c r="AJ279">
        <v>7</v>
      </c>
    </row>
    <row r="280" spans="1:36"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H280">
        <v>5</v>
      </c>
      <c r="AI280">
        <v>1</v>
      </c>
      <c r="AJ280">
        <v>4</v>
      </c>
    </row>
    <row r="281" spans="1:36"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H281">
        <v>4</v>
      </c>
      <c r="AI281">
        <v>1</v>
      </c>
      <c r="AJ281">
        <v>6</v>
      </c>
    </row>
    <row r="282" spans="1:36"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H282">
        <v>3</v>
      </c>
      <c r="AI282">
        <v>1</v>
      </c>
      <c r="AJ282">
        <v>3</v>
      </c>
    </row>
    <row r="283" spans="1:36"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H283">
        <v>16</v>
      </c>
      <c r="AI283">
        <v>11</v>
      </c>
      <c r="AJ283">
        <v>6</v>
      </c>
    </row>
    <row r="284" spans="1:36"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H284">
        <v>7</v>
      </c>
      <c r="AI284">
        <v>0</v>
      </c>
      <c r="AJ284">
        <v>9</v>
      </c>
    </row>
    <row r="285" spans="1:36"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H285">
        <v>7</v>
      </c>
      <c r="AI285">
        <v>0</v>
      </c>
      <c r="AJ285">
        <v>8</v>
      </c>
    </row>
    <row r="286" spans="1:36"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H286">
        <v>3</v>
      </c>
      <c r="AI286">
        <v>3</v>
      </c>
      <c r="AJ286">
        <v>3</v>
      </c>
    </row>
    <row r="287" spans="1:36"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H287">
        <v>12</v>
      </c>
      <c r="AI287">
        <v>5</v>
      </c>
      <c r="AJ287">
        <v>7</v>
      </c>
    </row>
    <row r="288" spans="1:36"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H288">
        <v>0</v>
      </c>
      <c r="AI288">
        <v>0</v>
      </c>
      <c r="AJ288">
        <v>0</v>
      </c>
    </row>
    <row r="289" spans="1:36"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H289">
        <v>2</v>
      </c>
      <c r="AI289">
        <v>1</v>
      </c>
      <c r="AJ289">
        <v>2</v>
      </c>
    </row>
    <row r="290" spans="1:36"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H290">
        <v>2</v>
      </c>
      <c r="AI290">
        <v>0</v>
      </c>
      <c r="AJ290">
        <v>2</v>
      </c>
    </row>
    <row r="291" spans="1:36"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H291">
        <v>3</v>
      </c>
      <c r="AI291">
        <v>0</v>
      </c>
      <c r="AJ291">
        <v>2</v>
      </c>
    </row>
    <row r="292" spans="1:36"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H292">
        <v>2</v>
      </c>
      <c r="AI292">
        <v>1</v>
      </c>
      <c r="AJ292">
        <v>2</v>
      </c>
    </row>
    <row r="293" spans="1:36"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H293">
        <v>0</v>
      </c>
      <c r="AI293">
        <v>7</v>
      </c>
      <c r="AJ293">
        <v>7</v>
      </c>
    </row>
    <row r="294" spans="1:36"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H294">
        <v>2</v>
      </c>
      <c r="AI294">
        <v>2</v>
      </c>
      <c r="AJ294">
        <v>2</v>
      </c>
    </row>
    <row r="295" spans="1:36"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H295">
        <v>7</v>
      </c>
      <c r="AI295">
        <v>7</v>
      </c>
      <c r="AJ295">
        <v>4</v>
      </c>
    </row>
    <row r="296" spans="1:36"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H296">
        <v>2</v>
      </c>
      <c r="AI296">
        <v>1</v>
      </c>
      <c r="AJ296">
        <v>2</v>
      </c>
    </row>
    <row r="297" spans="1:36"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H297">
        <v>4</v>
      </c>
      <c r="AI297">
        <v>4</v>
      </c>
      <c r="AJ297">
        <v>8</v>
      </c>
    </row>
    <row r="298" spans="1:36"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H298">
        <v>0</v>
      </c>
      <c r="AI298">
        <v>0</v>
      </c>
      <c r="AJ298">
        <v>0</v>
      </c>
    </row>
    <row r="299" spans="1:36"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H299">
        <v>9</v>
      </c>
      <c r="AI299">
        <v>6</v>
      </c>
      <c r="AJ299">
        <v>9</v>
      </c>
    </row>
    <row r="300" spans="1:36"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H300">
        <v>0</v>
      </c>
      <c r="AI300">
        <v>0</v>
      </c>
      <c r="AJ300">
        <v>0</v>
      </c>
    </row>
    <row r="301" spans="1:36"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H301">
        <v>1</v>
      </c>
      <c r="AI301">
        <v>1</v>
      </c>
      <c r="AJ301">
        <v>2</v>
      </c>
    </row>
    <row r="302" spans="1:36"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H302">
        <v>10</v>
      </c>
      <c r="AI302">
        <v>0</v>
      </c>
      <c r="AJ302">
        <v>4</v>
      </c>
    </row>
    <row r="303" spans="1:36"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H303">
        <v>0</v>
      </c>
      <c r="AI303">
        <v>0</v>
      </c>
      <c r="AJ303">
        <v>0</v>
      </c>
    </row>
    <row r="304" spans="1:36"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H304">
        <v>3</v>
      </c>
      <c r="AI304">
        <v>0</v>
      </c>
      <c r="AJ304">
        <v>7</v>
      </c>
    </row>
    <row r="305" spans="1:36"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H305">
        <v>7</v>
      </c>
      <c r="AI305">
        <v>7</v>
      </c>
      <c r="AJ305">
        <v>7</v>
      </c>
    </row>
    <row r="306" spans="1:36"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H306">
        <v>10</v>
      </c>
      <c r="AI306">
        <v>3</v>
      </c>
      <c r="AJ306">
        <v>7</v>
      </c>
    </row>
    <row r="307" spans="1:36"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H307">
        <v>8</v>
      </c>
      <c r="AI307">
        <v>0</v>
      </c>
      <c r="AJ307">
        <v>8</v>
      </c>
    </row>
    <row r="308" spans="1:36"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H308">
        <v>8</v>
      </c>
      <c r="AI308">
        <v>4</v>
      </c>
      <c r="AJ308">
        <v>8</v>
      </c>
    </row>
    <row r="309" spans="1:36"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H309">
        <v>8</v>
      </c>
      <c r="AI309">
        <v>0</v>
      </c>
      <c r="AJ309">
        <v>1</v>
      </c>
    </row>
    <row r="310" spans="1:36"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H310">
        <v>3</v>
      </c>
      <c r="AI310">
        <v>1</v>
      </c>
      <c r="AJ310">
        <v>2</v>
      </c>
    </row>
    <row r="311" spans="1:36"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H311">
        <v>2</v>
      </c>
      <c r="AI311">
        <v>0</v>
      </c>
      <c r="AJ311">
        <v>3</v>
      </c>
    </row>
    <row r="312" spans="1:36"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H312">
        <v>2</v>
      </c>
      <c r="AI312">
        <v>1</v>
      </c>
      <c r="AJ312">
        <v>0</v>
      </c>
    </row>
    <row r="313" spans="1:36"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H313">
        <v>9</v>
      </c>
      <c r="AI313">
        <v>9</v>
      </c>
      <c r="AJ313">
        <v>11</v>
      </c>
    </row>
    <row r="314" spans="1:36"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H314">
        <v>2</v>
      </c>
      <c r="AI314">
        <v>2</v>
      </c>
      <c r="AJ314">
        <v>2</v>
      </c>
    </row>
    <row r="315" spans="1:36"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H315">
        <v>6</v>
      </c>
      <c r="AI315">
        <v>8</v>
      </c>
      <c r="AJ315">
        <v>8</v>
      </c>
    </row>
    <row r="316" spans="1:36"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H316">
        <v>9</v>
      </c>
      <c r="AI316">
        <v>11</v>
      </c>
      <c r="AJ316">
        <v>10</v>
      </c>
    </row>
    <row r="317" spans="1:36"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H317">
        <v>7</v>
      </c>
      <c r="AI317">
        <v>1</v>
      </c>
      <c r="AJ317">
        <v>7</v>
      </c>
    </row>
    <row r="318" spans="1:36"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H318">
        <v>1</v>
      </c>
      <c r="AI318">
        <v>0</v>
      </c>
      <c r="AJ318">
        <v>7</v>
      </c>
    </row>
    <row r="319" spans="1:36"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H319">
        <v>2</v>
      </c>
      <c r="AI319">
        <v>7</v>
      </c>
      <c r="AJ319">
        <v>7</v>
      </c>
    </row>
    <row r="320" spans="1:36"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H320">
        <v>3</v>
      </c>
      <c r="AI320">
        <v>1</v>
      </c>
      <c r="AJ320">
        <v>2</v>
      </c>
    </row>
    <row r="321" spans="1:36"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H321">
        <v>12</v>
      </c>
      <c r="AI321">
        <v>11</v>
      </c>
      <c r="AJ321">
        <v>9</v>
      </c>
    </row>
    <row r="322" spans="1:36"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H322">
        <v>4</v>
      </c>
      <c r="AI322">
        <v>0</v>
      </c>
      <c r="AJ322">
        <v>4</v>
      </c>
    </row>
    <row r="323" spans="1:36"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H323">
        <v>7</v>
      </c>
      <c r="AI323">
        <v>1</v>
      </c>
      <c r="AJ323">
        <v>7</v>
      </c>
    </row>
    <row r="324" spans="1:36"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H324">
        <v>7</v>
      </c>
      <c r="AI324">
        <v>0</v>
      </c>
      <c r="AJ324">
        <v>7</v>
      </c>
    </row>
    <row r="325" spans="1:36"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H325">
        <v>2</v>
      </c>
      <c r="AI325">
        <v>2</v>
      </c>
      <c r="AJ325">
        <v>2</v>
      </c>
    </row>
    <row r="326" spans="1:36"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H326">
        <v>8</v>
      </c>
      <c r="AI326">
        <v>1</v>
      </c>
      <c r="AJ326">
        <v>9</v>
      </c>
    </row>
    <row r="327" spans="1:36"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H327">
        <v>9</v>
      </c>
      <c r="AI327">
        <v>8</v>
      </c>
      <c r="AJ327">
        <v>9</v>
      </c>
    </row>
    <row r="328" spans="1:36"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H328">
        <v>9</v>
      </c>
      <c r="AI328">
        <v>13</v>
      </c>
      <c r="AJ328">
        <v>3</v>
      </c>
    </row>
    <row r="329" spans="1:36"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H329">
        <v>0</v>
      </c>
      <c r="AI329">
        <v>0</v>
      </c>
      <c r="AJ329">
        <v>0</v>
      </c>
    </row>
    <row r="330" spans="1:36"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H330">
        <v>7</v>
      </c>
      <c r="AI330">
        <v>0</v>
      </c>
      <c r="AJ330">
        <v>1</v>
      </c>
    </row>
    <row r="331" spans="1:36"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H331">
        <v>2</v>
      </c>
      <c r="AI331">
        <v>1</v>
      </c>
      <c r="AJ331">
        <v>1</v>
      </c>
    </row>
    <row r="332" spans="1:36"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H332">
        <v>7</v>
      </c>
      <c r="AI332">
        <v>0</v>
      </c>
      <c r="AJ332">
        <v>0</v>
      </c>
    </row>
    <row r="333" spans="1:36"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H333">
        <v>4</v>
      </c>
      <c r="AI333">
        <v>1</v>
      </c>
      <c r="AJ333">
        <v>4</v>
      </c>
    </row>
    <row r="334" spans="1:36"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H334">
        <v>3</v>
      </c>
      <c r="AI334">
        <v>0</v>
      </c>
      <c r="AJ334">
        <v>3</v>
      </c>
    </row>
    <row r="335" spans="1:36"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H335">
        <v>0</v>
      </c>
      <c r="AI335">
        <v>0</v>
      </c>
      <c r="AJ335">
        <v>0</v>
      </c>
    </row>
    <row r="336" spans="1:36"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H336">
        <v>9</v>
      </c>
      <c r="AI336">
        <v>9</v>
      </c>
      <c r="AJ336">
        <v>8</v>
      </c>
    </row>
    <row r="337" spans="1:36"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H337">
        <v>3</v>
      </c>
      <c r="AI337">
        <v>0</v>
      </c>
      <c r="AJ337">
        <v>2</v>
      </c>
    </row>
    <row r="338" spans="1:36"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H338">
        <v>7</v>
      </c>
      <c r="AI338">
        <v>0</v>
      </c>
      <c r="AJ338">
        <v>7</v>
      </c>
    </row>
    <row r="339" spans="1:36"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H339">
        <v>2</v>
      </c>
      <c r="AI339">
        <v>2</v>
      </c>
      <c r="AJ339">
        <v>2</v>
      </c>
    </row>
    <row r="340" spans="1:36"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H340">
        <v>9</v>
      </c>
      <c r="AI340">
        <v>1</v>
      </c>
      <c r="AJ340">
        <v>2</v>
      </c>
    </row>
    <row r="341" spans="1:36"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H341">
        <v>7</v>
      </c>
      <c r="AI341">
        <v>0</v>
      </c>
      <c r="AJ341">
        <v>7</v>
      </c>
    </row>
    <row r="342" spans="1:36"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H342">
        <v>2</v>
      </c>
      <c r="AI342">
        <v>0</v>
      </c>
      <c r="AJ342">
        <v>4</v>
      </c>
    </row>
    <row r="343" spans="1:36"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H343">
        <v>10</v>
      </c>
      <c r="AI343">
        <v>2</v>
      </c>
      <c r="AJ343">
        <v>9</v>
      </c>
    </row>
    <row r="344" spans="1:36"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H344">
        <v>9</v>
      </c>
      <c r="AI344">
        <v>4</v>
      </c>
      <c r="AJ344">
        <v>10</v>
      </c>
    </row>
    <row r="345" spans="1:36"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H345">
        <v>7</v>
      </c>
      <c r="AI345">
        <v>1</v>
      </c>
      <c r="AJ345">
        <v>7</v>
      </c>
    </row>
    <row r="346" spans="1:36"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H346">
        <v>6</v>
      </c>
      <c r="AI346">
        <v>0</v>
      </c>
      <c r="AJ346">
        <v>13</v>
      </c>
    </row>
    <row r="347" spans="1:36"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H347">
        <v>2</v>
      </c>
      <c r="AI347">
        <v>0</v>
      </c>
      <c r="AJ347">
        <v>2</v>
      </c>
    </row>
    <row r="348" spans="1:36"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H348">
        <v>4</v>
      </c>
      <c r="AI348">
        <v>1</v>
      </c>
      <c r="AJ348">
        <v>2</v>
      </c>
    </row>
    <row r="349" spans="1:36"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H349">
        <v>0</v>
      </c>
      <c r="AI349">
        <v>0</v>
      </c>
      <c r="AJ349">
        <v>0</v>
      </c>
    </row>
    <row r="350" spans="1:36"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H350">
        <v>0</v>
      </c>
      <c r="AI350">
        <v>0</v>
      </c>
      <c r="AJ350">
        <v>0</v>
      </c>
    </row>
    <row r="351" spans="1:36"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H351">
        <v>3</v>
      </c>
      <c r="AI351">
        <v>0</v>
      </c>
      <c r="AJ351">
        <v>2</v>
      </c>
    </row>
    <row r="352" spans="1:36"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H352">
        <v>2</v>
      </c>
      <c r="AI352">
        <v>1</v>
      </c>
      <c r="AJ352">
        <v>0</v>
      </c>
    </row>
    <row r="353" spans="1:36"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H353">
        <v>0</v>
      </c>
      <c r="AI353">
        <v>0</v>
      </c>
      <c r="AJ353">
        <v>7</v>
      </c>
    </row>
    <row r="354" spans="1:36"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H354">
        <v>0</v>
      </c>
      <c r="AI354">
        <v>0</v>
      </c>
      <c r="AJ354">
        <v>0</v>
      </c>
    </row>
    <row r="355" spans="1:36"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H355">
        <v>7</v>
      </c>
      <c r="AI355">
        <v>6</v>
      </c>
      <c r="AJ355">
        <v>7</v>
      </c>
    </row>
    <row r="356" spans="1:36"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H356">
        <v>2</v>
      </c>
      <c r="AI356">
        <v>2</v>
      </c>
      <c r="AJ356">
        <v>2</v>
      </c>
    </row>
    <row r="357" spans="1:36"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H357">
        <v>7</v>
      </c>
      <c r="AI357">
        <v>7</v>
      </c>
      <c r="AJ357">
        <v>7</v>
      </c>
    </row>
    <row r="358" spans="1:36"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H358">
        <v>0</v>
      </c>
      <c r="AI358">
        <v>0</v>
      </c>
      <c r="AJ358">
        <v>0</v>
      </c>
    </row>
    <row r="359" spans="1:36"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H359">
        <v>2</v>
      </c>
      <c r="AI359">
        <v>1</v>
      </c>
      <c r="AJ359">
        <v>2</v>
      </c>
    </row>
    <row r="360" spans="1:36"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H360">
        <v>0</v>
      </c>
      <c r="AI360">
        <v>0</v>
      </c>
      <c r="AJ360">
        <v>0</v>
      </c>
    </row>
    <row r="361" spans="1:36"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H361">
        <v>9</v>
      </c>
      <c r="AI361">
        <v>1</v>
      </c>
      <c r="AJ361">
        <v>12</v>
      </c>
    </row>
    <row r="362" spans="1:36"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H362">
        <v>2</v>
      </c>
      <c r="AI362">
        <v>1</v>
      </c>
      <c r="AJ362">
        <v>2</v>
      </c>
    </row>
    <row r="363" spans="1:36"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H363">
        <v>7</v>
      </c>
      <c r="AI363">
        <v>1</v>
      </c>
      <c r="AJ363">
        <v>7</v>
      </c>
    </row>
    <row r="364" spans="1:36"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H364">
        <v>2</v>
      </c>
      <c r="AI364">
        <v>2</v>
      </c>
      <c r="AJ364">
        <v>2</v>
      </c>
    </row>
    <row r="365" spans="1:36"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H365">
        <v>0</v>
      </c>
      <c r="AI365">
        <v>0</v>
      </c>
      <c r="AJ365">
        <v>0</v>
      </c>
    </row>
    <row r="366" spans="1:36"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H366">
        <v>4</v>
      </c>
      <c r="AI366">
        <v>0</v>
      </c>
      <c r="AJ366">
        <v>3</v>
      </c>
    </row>
    <row r="367" spans="1:36"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H367">
        <v>0</v>
      </c>
      <c r="AI367">
        <v>0</v>
      </c>
      <c r="AJ367">
        <v>0</v>
      </c>
    </row>
    <row r="368" spans="1:36"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H368">
        <v>7</v>
      </c>
      <c r="AI368">
        <v>7</v>
      </c>
      <c r="AJ368">
        <v>7</v>
      </c>
    </row>
    <row r="369" spans="1:36"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H369">
        <v>3</v>
      </c>
      <c r="AI369">
        <v>1</v>
      </c>
      <c r="AJ369">
        <v>3</v>
      </c>
    </row>
    <row r="370" spans="1:36"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H370">
        <v>4</v>
      </c>
      <c r="AI370">
        <v>1</v>
      </c>
      <c r="AJ370">
        <v>0</v>
      </c>
    </row>
    <row r="371" spans="1:36"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H371">
        <v>2</v>
      </c>
      <c r="AI371">
        <v>2</v>
      </c>
      <c r="AJ371">
        <v>2</v>
      </c>
    </row>
    <row r="372" spans="1:36"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H372">
        <v>0</v>
      </c>
      <c r="AI372">
        <v>0</v>
      </c>
      <c r="AJ372">
        <v>0</v>
      </c>
    </row>
    <row r="373" spans="1:36"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H373">
        <v>2</v>
      </c>
      <c r="AI373">
        <v>1</v>
      </c>
      <c r="AJ373">
        <v>2</v>
      </c>
    </row>
    <row r="374" spans="1:36"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H374">
        <v>1</v>
      </c>
      <c r="AI374">
        <v>0</v>
      </c>
      <c r="AJ374">
        <v>0</v>
      </c>
    </row>
    <row r="375" spans="1:36"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H375">
        <v>2</v>
      </c>
      <c r="AI375">
        <v>0</v>
      </c>
      <c r="AJ375">
        <v>4</v>
      </c>
    </row>
    <row r="376" spans="1:36"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H376">
        <v>5</v>
      </c>
      <c r="AI376">
        <v>0</v>
      </c>
      <c r="AJ376">
        <v>7</v>
      </c>
    </row>
    <row r="377" spans="1:36"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H377">
        <v>2</v>
      </c>
      <c r="AI377">
        <v>0</v>
      </c>
      <c r="AJ377">
        <v>0</v>
      </c>
    </row>
    <row r="378" spans="1:36"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H378">
        <v>7</v>
      </c>
      <c r="AI378">
        <v>0</v>
      </c>
      <c r="AJ378">
        <v>7</v>
      </c>
    </row>
    <row r="379" spans="1:36"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H379">
        <v>2</v>
      </c>
      <c r="AI379">
        <v>2</v>
      </c>
      <c r="AJ379">
        <v>2</v>
      </c>
    </row>
    <row r="380" spans="1:36"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H380">
        <v>2</v>
      </c>
      <c r="AI380">
        <v>0</v>
      </c>
      <c r="AJ380">
        <v>4</v>
      </c>
    </row>
    <row r="381" spans="1:36"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H381">
        <v>4</v>
      </c>
      <c r="AI381">
        <v>1</v>
      </c>
      <c r="AJ381">
        <v>2</v>
      </c>
    </row>
    <row r="382" spans="1:36"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H382">
        <v>2</v>
      </c>
      <c r="AI382">
        <v>0</v>
      </c>
      <c r="AJ382">
        <v>3</v>
      </c>
    </row>
    <row r="383" spans="1:36"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H383">
        <v>0</v>
      </c>
      <c r="AI383">
        <v>0</v>
      </c>
      <c r="AJ383">
        <v>0</v>
      </c>
    </row>
    <row r="384" spans="1:36"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H384">
        <v>4</v>
      </c>
      <c r="AI384">
        <v>0</v>
      </c>
      <c r="AJ384">
        <v>4</v>
      </c>
    </row>
    <row r="385" spans="1:36"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H385">
        <v>1</v>
      </c>
      <c r="AI385">
        <v>1</v>
      </c>
      <c r="AJ385">
        <v>2</v>
      </c>
    </row>
    <row r="386" spans="1:36"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H386">
        <v>9</v>
      </c>
      <c r="AI386">
        <v>9</v>
      </c>
      <c r="AJ386">
        <v>0</v>
      </c>
    </row>
    <row r="387" spans="1:36"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H387">
        <v>0</v>
      </c>
      <c r="AI387">
        <v>0</v>
      </c>
      <c r="AJ387">
        <v>0</v>
      </c>
    </row>
    <row r="388" spans="1:36"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H388">
        <v>7</v>
      </c>
      <c r="AI388">
        <v>12</v>
      </c>
      <c r="AJ388">
        <v>17</v>
      </c>
    </row>
    <row r="389" spans="1:36"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H389">
        <v>4</v>
      </c>
      <c r="AI389">
        <v>1</v>
      </c>
      <c r="AJ389">
        <v>3</v>
      </c>
    </row>
    <row r="390" spans="1:36"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H390">
        <v>2</v>
      </c>
      <c r="AI390">
        <v>1</v>
      </c>
      <c r="AJ390">
        <v>2</v>
      </c>
    </row>
    <row r="391" spans="1:36"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H391">
        <v>0</v>
      </c>
      <c r="AI391">
        <v>0</v>
      </c>
      <c r="AJ391">
        <v>1</v>
      </c>
    </row>
    <row r="392" spans="1:36"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H392">
        <v>10</v>
      </c>
      <c r="AI392">
        <v>3</v>
      </c>
      <c r="AJ392">
        <v>9</v>
      </c>
    </row>
    <row r="393" spans="1:36"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H393">
        <v>0</v>
      </c>
      <c r="AI393">
        <v>0</v>
      </c>
      <c r="AJ393">
        <v>0</v>
      </c>
    </row>
    <row r="394" spans="1:36"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H394">
        <v>2</v>
      </c>
      <c r="AI394">
        <v>1</v>
      </c>
      <c r="AJ394">
        <v>2</v>
      </c>
    </row>
    <row r="395" spans="1:36"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H395">
        <v>2</v>
      </c>
      <c r="AI395">
        <v>1</v>
      </c>
      <c r="AJ395">
        <v>2</v>
      </c>
    </row>
    <row r="396" spans="1:36"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H396">
        <v>10</v>
      </c>
      <c r="AI396">
        <v>3</v>
      </c>
      <c r="AJ396">
        <v>12</v>
      </c>
    </row>
    <row r="397" spans="1:36"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H397">
        <v>2</v>
      </c>
      <c r="AI397">
        <v>1</v>
      </c>
      <c r="AJ397">
        <v>2</v>
      </c>
    </row>
    <row r="398" spans="1:36"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H398">
        <v>2</v>
      </c>
      <c r="AI398">
        <v>0</v>
      </c>
      <c r="AJ398">
        <v>2</v>
      </c>
    </row>
    <row r="399" spans="1:36"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H399">
        <v>4</v>
      </c>
      <c r="AI399">
        <v>1</v>
      </c>
      <c r="AJ399">
        <v>3</v>
      </c>
    </row>
    <row r="400" spans="1:36"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H400">
        <v>11</v>
      </c>
      <c r="AI400">
        <v>10</v>
      </c>
      <c r="AJ400">
        <v>7</v>
      </c>
    </row>
    <row r="401" spans="1:36"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H401">
        <v>2</v>
      </c>
      <c r="AI401">
        <v>3</v>
      </c>
      <c r="AJ401">
        <v>2</v>
      </c>
    </row>
    <row r="402" spans="1:36"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H402">
        <v>8</v>
      </c>
      <c r="AI402">
        <v>1</v>
      </c>
      <c r="AJ402">
        <v>6</v>
      </c>
    </row>
    <row r="403" spans="1:36"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H403">
        <v>7</v>
      </c>
      <c r="AI403">
        <v>7</v>
      </c>
      <c r="AJ403">
        <v>7</v>
      </c>
    </row>
    <row r="404" spans="1:36"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H404">
        <v>4</v>
      </c>
      <c r="AI404">
        <v>4</v>
      </c>
      <c r="AJ404">
        <v>4</v>
      </c>
    </row>
    <row r="405" spans="1:36"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H405">
        <v>7</v>
      </c>
      <c r="AI405">
        <v>0</v>
      </c>
      <c r="AJ405">
        <v>7</v>
      </c>
    </row>
    <row r="406" spans="1:36"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H406">
        <v>0</v>
      </c>
      <c r="AI406">
        <v>1</v>
      </c>
      <c r="AJ406">
        <v>8</v>
      </c>
    </row>
    <row r="407" spans="1:36"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H407">
        <v>2</v>
      </c>
      <c r="AI407">
        <v>0</v>
      </c>
      <c r="AJ407">
        <v>2</v>
      </c>
    </row>
    <row r="408" spans="1:36"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H408">
        <v>4</v>
      </c>
      <c r="AI408">
        <v>0</v>
      </c>
      <c r="AJ408">
        <v>4</v>
      </c>
    </row>
    <row r="409" spans="1:36"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H409">
        <v>2</v>
      </c>
      <c r="AI409">
        <v>0</v>
      </c>
      <c r="AJ409">
        <v>2</v>
      </c>
    </row>
    <row r="410" spans="1:36"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H410">
        <v>2</v>
      </c>
      <c r="AI410">
        <v>1</v>
      </c>
      <c r="AJ410">
        <v>4</v>
      </c>
    </row>
    <row r="411" spans="1:36"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H411">
        <v>4</v>
      </c>
      <c r="AI411">
        <v>0</v>
      </c>
      <c r="AJ411">
        <v>2</v>
      </c>
    </row>
    <row r="412" spans="1:36"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H412">
        <v>4</v>
      </c>
      <c r="AI412">
        <v>0</v>
      </c>
      <c r="AJ412">
        <v>2</v>
      </c>
    </row>
    <row r="413" spans="1:36"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H413">
        <v>8</v>
      </c>
      <c r="AI413">
        <v>11</v>
      </c>
      <c r="AJ413">
        <v>10</v>
      </c>
    </row>
    <row r="414" spans="1:36"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H414">
        <v>7</v>
      </c>
      <c r="AI414">
        <v>0</v>
      </c>
      <c r="AJ414">
        <v>8</v>
      </c>
    </row>
    <row r="415" spans="1:36"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H415">
        <v>5</v>
      </c>
      <c r="AI415">
        <v>0</v>
      </c>
      <c r="AJ415">
        <v>4</v>
      </c>
    </row>
    <row r="416" spans="1:36"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H416">
        <v>3</v>
      </c>
      <c r="AI416">
        <v>1</v>
      </c>
      <c r="AJ416">
        <v>4</v>
      </c>
    </row>
    <row r="417" spans="1:36"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H417">
        <v>2</v>
      </c>
      <c r="AI417">
        <v>1</v>
      </c>
      <c r="AJ417">
        <v>0</v>
      </c>
    </row>
    <row r="418" spans="1:36"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H418">
        <v>0</v>
      </c>
      <c r="AI418">
        <v>0</v>
      </c>
      <c r="AJ418">
        <v>0</v>
      </c>
    </row>
    <row r="419" spans="1:36"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H419">
        <v>15</v>
      </c>
      <c r="AI419">
        <v>1</v>
      </c>
      <c r="AJ419">
        <v>12</v>
      </c>
    </row>
    <row r="420" spans="1:36"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H420">
        <v>2</v>
      </c>
      <c r="AI420">
        <v>0</v>
      </c>
      <c r="AJ420">
        <v>2</v>
      </c>
    </row>
    <row r="421" spans="1:36"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H421">
        <v>3</v>
      </c>
      <c r="AI421">
        <v>1</v>
      </c>
      <c r="AJ421">
        <v>4</v>
      </c>
    </row>
    <row r="422" spans="1:36"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H422">
        <v>2</v>
      </c>
      <c r="AI422">
        <v>0</v>
      </c>
      <c r="AJ422">
        <v>7</v>
      </c>
    </row>
    <row r="423" spans="1:36"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H423">
        <v>2</v>
      </c>
      <c r="AI423">
        <v>1</v>
      </c>
      <c r="AJ423">
        <v>1</v>
      </c>
    </row>
    <row r="424" spans="1:36"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H424">
        <v>0</v>
      </c>
      <c r="AI424">
        <v>0</v>
      </c>
      <c r="AJ424">
        <v>0</v>
      </c>
    </row>
    <row r="425" spans="1:36"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H425">
        <v>8</v>
      </c>
      <c r="AI425">
        <v>7</v>
      </c>
      <c r="AJ425">
        <v>8</v>
      </c>
    </row>
    <row r="426" spans="1:36"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H426">
        <v>0</v>
      </c>
      <c r="AI426">
        <v>0</v>
      </c>
      <c r="AJ426">
        <v>0</v>
      </c>
    </row>
    <row r="427" spans="1:36"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H427">
        <v>10</v>
      </c>
      <c r="AI427">
        <v>15</v>
      </c>
      <c r="AJ427">
        <v>7</v>
      </c>
    </row>
    <row r="428" spans="1:36"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H428">
        <v>7</v>
      </c>
      <c r="AI428">
        <v>6</v>
      </c>
      <c r="AJ428">
        <v>7</v>
      </c>
    </row>
    <row r="429" spans="1:36"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H429">
        <v>13</v>
      </c>
      <c r="AI429">
        <v>13</v>
      </c>
      <c r="AJ429">
        <v>11</v>
      </c>
    </row>
    <row r="430" spans="1:36"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H430">
        <v>0</v>
      </c>
      <c r="AI430">
        <v>0</v>
      </c>
      <c r="AJ430">
        <v>4</v>
      </c>
    </row>
    <row r="431" spans="1:36"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H431">
        <v>2</v>
      </c>
      <c r="AI431">
        <v>0</v>
      </c>
      <c r="AJ431">
        <v>1</v>
      </c>
    </row>
    <row r="432" spans="1:36"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H432">
        <v>4</v>
      </c>
      <c r="AI432">
        <v>4</v>
      </c>
      <c r="AJ432">
        <v>3</v>
      </c>
    </row>
    <row r="433" spans="1:36"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H433">
        <v>0</v>
      </c>
      <c r="AI433">
        <v>0</v>
      </c>
      <c r="AJ433">
        <v>0</v>
      </c>
    </row>
    <row r="434" spans="1:36"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H434">
        <v>3</v>
      </c>
      <c r="AI434">
        <v>5</v>
      </c>
      <c r="AJ434">
        <v>7</v>
      </c>
    </row>
    <row r="435" spans="1:36"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H435">
        <v>2</v>
      </c>
      <c r="AI435">
        <v>1</v>
      </c>
      <c r="AJ435">
        <v>2</v>
      </c>
    </row>
    <row r="436" spans="1:36"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H436">
        <v>8</v>
      </c>
      <c r="AI436">
        <v>0</v>
      </c>
      <c r="AJ436">
        <v>8</v>
      </c>
    </row>
    <row r="437" spans="1:36"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H437">
        <v>6</v>
      </c>
      <c r="AI437">
        <v>7</v>
      </c>
      <c r="AJ437">
        <v>7</v>
      </c>
    </row>
    <row r="438" spans="1:36"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H438">
        <v>3</v>
      </c>
      <c r="AI438">
        <v>1</v>
      </c>
      <c r="AJ438">
        <v>3</v>
      </c>
    </row>
    <row r="439" spans="1:36"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H439">
        <v>2</v>
      </c>
      <c r="AI439">
        <v>1</v>
      </c>
      <c r="AJ439">
        <v>2</v>
      </c>
    </row>
    <row r="440" spans="1:36"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H440">
        <v>7</v>
      </c>
      <c r="AI440">
        <v>0</v>
      </c>
      <c r="AJ440">
        <v>0</v>
      </c>
    </row>
    <row r="441" spans="1:36"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H441">
        <v>0</v>
      </c>
      <c r="AI441">
        <v>0</v>
      </c>
      <c r="AJ441">
        <v>0</v>
      </c>
    </row>
    <row r="442" spans="1:36"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H442">
        <v>2</v>
      </c>
      <c r="AI442">
        <v>0</v>
      </c>
      <c r="AJ442">
        <v>2</v>
      </c>
    </row>
    <row r="443" spans="1:36"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H443">
        <v>2</v>
      </c>
      <c r="AI443">
        <v>2</v>
      </c>
      <c r="AJ443">
        <v>0</v>
      </c>
    </row>
    <row r="444" spans="1:36"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H444">
        <v>3</v>
      </c>
      <c r="AI444">
        <v>9</v>
      </c>
      <c r="AJ444">
        <v>7</v>
      </c>
    </row>
    <row r="445" spans="1:36"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H445">
        <v>2</v>
      </c>
      <c r="AI445">
        <v>1</v>
      </c>
      <c r="AJ445">
        <v>2</v>
      </c>
    </row>
    <row r="446" spans="1:36"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H446">
        <v>7</v>
      </c>
      <c r="AI446">
        <v>6</v>
      </c>
      <c r="AJ446">
        <v>7</v>
      </c>
    </row>
    <row r="447" spans="1:36"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H447">
        <v>9</v>
      </c>
      <c r="AI447">
        <v>7</v>
      </c>
      <c r="AJ447">
        <v>7</v>
      </c>
    </row>
    <row r="448" spans="1:36"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H448">
        <v>3</v>
      </c>
      <c r="AI448">
        <v>1</v>
      </c>
      <c r="AJ448">
        <v>10</v>
      </c>
    </row>
    <row r="449" spans="1:36"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H449">
        <v>9</v>
      </c>
      <c r="AI449">
        <v>6</v>
      </c>
      <c r="AJ449">
        <v>9</v>
      </c>
    </row>
    <row r="450" spans="1:36"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H450">
        <v>6</v>
      </c>
      <c r="AI450">
        <v>5</v>
      </c>
      <c r="AJ450">
        <v>13</v>
      </c>
    </row>
    <row r="451" spans="1:36"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H451">
        <v>3</v>
      </c>
      <c r="AI451">
        <v>0</v>
      </c>
      <c r="AJ451">
        <v>7</v>
      </c>
    </row>
    <row r="452" spans="1:36"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H452">
        <v>5</v>
      </c>
      <c r="AI452">
        <v>0</v>
      </c>
      <c r="AJ452">
        <v>5</v>
      </c>
    </row>
    <row r="453" spans="1:36"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H453">
        <v>9</v>
      </c>
      <c r="AI453">
        <v>5</v>
      </c>
      <c r="AJ453">
        <v>8</v>
      </c>
    </row>
    <row r="454" spans="1:36"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H454">
        <v>7</v>
      </c>
      <c r="AI454">
        <v>3</v>
      </c>
      <c r="AJ454">
        <v>7</v>
      </c>
    </row>
    <row r="455" spans="1:36"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H455">
        <v>7</v>
      </c>
      <c r="AI455">
        <v>1</v>
      </c>
      <c r="AJ455">
        <v>0</v>
      </c>
    </row>
    <row r="456" spans="1:36"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H456">
        <v>2</v>
      </c>
      <c r="AI456">
        <v>1</v>
      </c>
      <c r="AJ456">
        <v>2</v>
      </c>
    </row>
    <row r="457" spans="1:36"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H457">
        <v>1</v>
      </c>
      <c r="AI457">
        <v>0</v>
      </c>
      <c r="AJ457">
        <v>5</v>
      </c>
    </row>
    <row r="458" spans="1:36"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H458">
        <v>4</v>
      </c>
      <c r="AI458">
        <v>0</v>
      </c>
      <c r="AJ458">
        <v>1</v>
      </c>
    </row>
    <row r="459" spans="1:36"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H459">
        <v>0</v>
      </c>
      <c r="AI459">
        <v>0</v>
      </c>
      <c r="AJ459">
        <v>0</v>
      </c>
    </row>
    <row r="460" spans="1:36"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H460">
        <v>0</v>
      </c>
      <c r="AI460">
        <v>0</v>
      </c>
      <c r="AJ460">
        <v>1</v>
      </c>
    </row>
    <row r="461" spans="1:36"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H461">
        <v>7</v>
      </c>
      <c r="AI461">
        <v>0</v>
      </c>
      <c r="AJ461">
        <v>7</v>
      </c>
    </row>
    <row r="462" spans="1:36"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H462">
        <v>0</v>
      </c>
      <c r="AI462">
        <v>0</v>
      </c>
      <c r="AJ462">
        <v>0</v>
      </c>
    </row>
    <row r="463" spans="1:36"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H463">
        <v>4</v>
      </c>
      <c r="AI463">
        <v>0</v>
      </c>
      <c r="AJ463">
        <v>3</v>
      </c>
    </row>
    <row r="464" spans="1:36"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H464">
        <v>7</v>
      </c>
      <c r="AI464">
        <v>5</v>
      </c>
      <c r="AJ464">
        <v>7</v>
      </c>
    </row>
    <row r="465" spans="1:36"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H465">
        <v>0</v>
      </c>
      <c r="AI465">
        <v>0</v>
      </c>
      <c r="AJ465">
        <v>0</v>
      </c>
    </row>
    <row r="466" spans="1:36"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H466">
        <v>5</v>
      </c>
      <c r="AI466">
        <v>1</v>
      </c>
      <c r="AJ466">
        <v>2</v>
      </c>
    </row>
    <row r="467" spans="1:36"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H467">
        <v>2</v>
      </c>
      <c r="AI467">
        <v>1</v>
      </c>
      <c r="AJ467">
        <v>2</v>
      </c>
    </row>
    <row r="468" spans="1:36"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H468">
        <v>16</v>
      </c>
      <c r="AI468">
        <v>11</v>
      </c>
      <c r="AJ468">
        <v>8</v>
      </c>
    </row>
    <row r="469" spans="1:36"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H469">
        <v>5</v>
      </c>
      <c r="AI469">
        <v>7</v>
      </c>
      <c r="AJ469">
        <v>7</v>
      </c>
    </row>
    <row r="470" spans="1:36"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H470">
        <v>9</v>
      </c>
      <c r="AI470">
        <v>6</v>
      </c>
      <c r="AJ470">
        <v>9</v>
      </c>
    </row>
    <row r="471" spans="1:36"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H471">
        <v>2</v>
      </c>
      <c r="AI471">
        <v>1</v>
      </c>
      <c r="AJ471">
        <v>2</v>
      </c>
    </row>
    <row r="472" spans="1:36"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H472">
        <v>2</v>
      </c>
      <c r="AI472">
        <v>2</v>
      </c>
      <c r="AJ472">
        <v>1</v>
      </c>
    </row>
    <row r="473" spans="1:36"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H473">
        <v>0</v>
      </c>
      <c r="AI473">
        <v>0</v>
      </c>
      <c r="AJ473">
        <v>0</v>
      </c>
    </row>
    <row r="474" spans="1:36"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H474">
        <v>5</v>
      </c>
      <c r="AI474">
        <v>4</v>
      </c>
      <c r="AJ474">
        <v>3</v>
      </c>
    </row>
    <row r="475" spans="1:36"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H475">
        <v>9</v>
      </c>
      <c r="AI475">
        <v>0</v>
      </c>
      <c r="AJ475">
        <v>9</v>
      </c>
    </row>
    <row r="476" spans="1:36"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H476">
        <v>5</v>
      </c>
      <c r="AI476">
        <v>1</v>
      </c>
      <c r="AJ476">
        <v>4</v>
      </c>
    </row>
    <row r="477" spans="1:36"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H477">
        <v>3</v>
      </c>
      <c r="AI477">
        <v>1</v>
      </c>
      <c r="AJ477">
        <v>4</v>
      </c>
    </row>
    <row r="478" spans="1:36"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H478">
        <v>0</v>
      </c>
      <c r="AI478">
        <v>0</v>
      </c>
      <c r="AJ478">
        <v>0</v>
      </c>
    </row>
    <row r="479" spans="1:36"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H479">
        <v>5</v>
      </c>
      <c r="AI479">
        <v>10</v>
      </c>
      <c r="AJ479">
        <v>7</v>
      </c>
    </row>
    <row r="480" spans="1:36"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H480">
        <v>4</v>
      </c>
      <c r="AI480">
        <v>0</v>
      </c>
      <c r="AJ480">
        <v>6</v>
      </c>
    </row>
    <row r="481" spans="1:36"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H481">
        <v>3</v>
      </c>
      <c r="AI481">
        <v>1</v>
      </c>
      <c r="AJ481">
        <v>2</v>
      </c>
    </row>
    <row r="482" spans="1:36"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H482">
        <v>0</v>
      </c>
      <c r="AI482">
        <v>0</v>
      </c>
      <c r="AJ482">
        <v>0</v>
      </c>
    </row>
    <row r="483" spans="1:36"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H483">
        <v>5</v>
      </c>
      <c r="AI483">
        <v>1</v>
      </c>
      <c r="AJ483">
        <v>3</v>
      </c>
    </row>
    <row r="484" spans="1:36"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H484">
        <v>1</v>
      </c>
      <c r="AI484">
        <v>1</v>
      </c>
      <c r="AJ484">
        <v>2</v>
      </c>
    </row>
    <row r="485" spans="1:36"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H485">
        <v>2</v>
      </c>
      <c r="AI485">
        <v>0</v>
      </c>
      <c r="AJ485">
        <v>2</v>
      </c>
    </row>
    <row r="486" spans="1:36"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H486">
        <v>7</v>
      </c>
      <c r="AI486">
        <v>5</v>
      </c>
      <c r="AJ486">
        <v>7</v>
      </c>
    </row>
    <row r="487" spans="1:36"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H487">
        <v>3</v>
      </c>
      <c r="AI487">
        <v>0</v>
      </c>
      <c r="AJ487">
        <v>3</v>
      </c>
    </row>
    <row r="488" spans="1:36"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H488">
        <v>0</v>
      </c>
      <c r="AI488">
        <v>1</v>
      </c>
      <c r="AJ488">
        <v>0</v>
      </c>
    </row>
    <row r="489" spans="1:36"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H489">
        <v>0</v>
      </c>
      <c r="AI489">
        <v>0</v>
      </c>
      <c r="AJ489">
        <v>0</v>
      </c>
    </row>
    <row r="490" spans="1:36"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H490">
        <v>2</v>
      </c>
      <c r="AI490">
        <v>2</v>
      </c>
      <c r="AJ490">
        <v>2</v>
      </c>
    </row>
    <row r="491" spans="1:36"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H491">
        <v>0</v>
      </c>
      <c r="AI491">
        <v>0</v>
      </c>
      <c r="AJ491">
        <v>0</v>
      </c>
    </row>
    <row r="492" spans="1:36"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H492">
        <v>0</v>
      </c>
      <c r="AI492">
        <v>0</v>
      </c>
      <c r="AJ492">
        <v>0</v>
      </c>
    </row>
    <row r="493" spans="1:36"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H493">
        <v>7</v>
      </c>
      <c r="AI493">
        <v>4</v>
      </c>
      <c r="AJ493">
        <v>7</v>
      </c>
    </row>
    <row r="494" spans="1:36"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H494">
        <v>2</v>
      </c>
      <c r="AI494">
        <v>0</v>
      </c>
      <c r="AJ494">
        <v>2</v>
      </c>
    </row>
    <row r="495" spans="1:36"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H495">
        <v>2</v>
      </c>
      <c r="AI495">
        <v>0</v>
      </c>
      <c r="AJ495">
        <v>2</v>
      </c>
    </row>
    <row r="496" spans="1:36"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H496">
        <v>2</v>
      </c>
      <c r="AI496">
        <v>0</v>
      </c>
      <c r="AJ496">
        <v>6</v>
      </c>
    </row>
    <row r="497" spans="1:36"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H497">
        <v>3</v>
      </c>
      <c r="AI497">
        <v>0</v>
      </c>
      <c r="AJ497">
        <v>2</v>
      </c>
    </row>
    <row r="498" spans="1:36"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H498">
        <v>2</v>
      </c>
      <c r="AI498">
        <v>1</v>
      </c>
      <c r="AJ498">
        <v>2</v>
      </c>
    </row>
    <row r="499" spans="1:36"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H499">
        <v>2</v>
      </c>
      <c r="AI499">
        <v>0</v>
      </c>
      <c r="AJ499">
        <v>1</v>
      </c>
    </row>
    <row r="500" spans="1:36"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H500">
        <v>2</v>
      </c>
      <c r="AI500">
        <v>2</v>
      </c>
      <c r="AJ500">
        <v>2</v>
      </c>
    </row>
    <row r="501" spans="1:36"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H501">
        <v>0</v>
      </c>
      <c r="AI501">
        <v>1</v>
      </c>
      <c r="AJ501">
        <v>2</v>
      </c>
    </row>
    <row r="502" spans="1:36"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H502">
        <v>4</v>
      </c>
      <c r="AI502">
        <v>0</v>
      </c>
      <c r="AJ502">
        <v>5</v>
      </c>
    </row>
    <row r="503" spans="1:36"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H503">
        <v>0</v>
      </c>
      <c r="AI503">
        <v>0</v>
      </c>
      <c r="AJ503">
        <v>0</v>
      </c>
    </row>
    <row r="504" spans="1:36"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H504">
        <v>7</v>
      </c>
      <c r="AI504">
        <v>8</v>
      </c>
      <c r="AJ504">
        <v>10</v>
      </c>
    </row>
    <row r="505" spans="1:36"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H505">
        <v>9</v>
      </c>
      <c r="AI505">
        <v>8</v>
      </c>
      <c r="AJ505">
        <v>8</v>
      </c>
    </row>
    <row r="506" spans="1:36"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H506">
        <v>1</v>
      </c>
      <c r="AI506">
        <v>0</v>
      </c>
      <c r="AJ506">
        <v>0</v>
      </c>
    </row>
    <row r="507" spans="1:36"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H507">
        <v>2</v>
      </c>
      <c r="AI507">
        <v>0</v>
      </c>
      <c r="AJ507">
        <v>2</v>
      </c>
    </row>
    <row r="508" spans="1:36"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H508">
        <v>7</v>
      </c>
      <c r="AI508">
        <v>7</v>
      </c>
      <c r="AJ508">
        <v>8</v>
      </c>
    </row>
    <row r="509" spans="1:36"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H509">
        <v>0</v>
      </c>
      <c r="AI509">
        <v>1</v>
      </c>
      <c r="AJ509">
        <v>2</v>
      </c>
    </row>
    <row r="510" spans="1:36"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H510">
        <v>11</v>
      </c>
      <c r="AI510">
        <v>11</v>
      </c>
      <c r="AJ510">
        <v>8</v>
      </c>
    </row>
    <row r="511" spans="1:36"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H511">
        <v>11</v>
      </c>
      <c r="AI511">
        <v>4</v>
      </c>
      <c r="AJ511">
        <v>7</v>
      </c>
    </row>
    <row r="512" spans="1:36"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H512">
        <v>7</v>
      </c>
      <c r="AI512">
        <v>7</v>
      </c>
      <c r="AJ512">
        <v>1</v>
      </c>
    </row>
    <row r="513" spans="1:36"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H513">
        <v>2</v>
      </c>
      <c r="AI513">
        <v>0</v>
      </c>
      <c r="AJ513">
        <v>2</v>
      </c>
    </row>
    <row r="514" spans="1:36"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H514">
        <v>2</v>
      </c>
      <c r="AI514">
        <v>1</v>
      </c>
      <c r="AJ514">
        <v>1</v>
      </c>
    </row>
    <row r="515" spans="1:36"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H515">
        <v>0</v>
      </c>
      <c r="AI515">
        <v>1</v>
      </c>
      <c r="AJ515">
        <v>1</v>
      </c>
    </row>
    <row r="516" spans="1:36"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H516">
        <v>8</v>
      </c>
      <c r="AI516">
        <v>9</v>
      </c>
      <c r="AJ516">
        <v>7</v>
      </c>
    </row>
    <row r="517" spans="1:36"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H517">
        <v>0</v>
      </c>
      <c r="AI517">
        <v>0</v>
      </c>
      <c r="AJ517">
        <v>0</v>
      </c>
    </row>
    <row r="518" spans="1:36"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H518">
        <v>2</v>
      </c>
      <c r="AI518">
        <v>0</v>
      </c>
      <c r="AJ518">
        <v>2</v>
      </c>
    </row>
    <row r="519" spans="1:36"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H519">
        <v>2</v>
      </c>
      <c r="AI519">
        <v>1</v>
      </c>
      <c r="AJ519">
        <v>2</v>
      </c>
    </row>
    <row r="520" spans="1:36"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H520">
        <v>7</v>
      </c>
      <c r="AI520">
        <v>0</v>
      </c>
      <c r="AJ520">
        <v>5</v>
      </c>
    </row>
    <row r="521" spans="1:36"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H521">
        <v>7</v>
      </c>
      <c r="AI521">
        <v>2</v>
      </c>
      <c r="AJ521">
        <v>8</v>
      </c>
    </row>
    <row r="522" spans="1:36"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H522">
        <v>2</v>
      </c>
      <c r="AI522">
        <v>2</v>
      </c>
      <c r="AJ522">
        <v>2</v>
      </c>
    </row>
    <row r="523" spans="1:36"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H523">
        <v>5</v>
      </c>
      <c r="AI523">
        <v>0</v>
      </c>
      <c r="AJ523">
        <v>4</v>
      </c>
    </row>
    <row r="524" spans="1:36"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H524">
        <v>0</v>
      </c>
      <c r="AI524">
        <v>0</v>
      </c>
      <c r="AJ524">
        <v>0</v>
      </c>
    </row>
    <row r="525" spans="1:36"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H525">
        <v>8</v>
      </c>
      <c r="AI525">
        <v>3</v>
      </c>
      <c r="AJ525">
        <v>8</v>
      </c>
    </row>
    <row r="526" spans="1:36"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H526">
        <v>7</v>
      </c>
      <c r="AI526">
        <v>7</v>
      </c>
      <c r="AJ526">
        <v>7</v>
      </c>
    </row>
    <row r="527" spans="1:36"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H527">
        <v>2</v>
      </c>
      <c r="AI527">
        <v>2</v>
      </c>
      <c r="AJ527">
        <v>0</v>
      </c>
    </row>
    <row r="528" spans="1:36"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H528">
        <v>7</v>
      </c>
      <c r="AI528">
        <v>11</v>
      </c>
      <c r="AJ528">
        <v>10</v>
      </c>
    </row>
    <row r="529" spans="1:36"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H529">
        <v>7</v>
      </c>
      <c r="AI529">
        <v>0</v>
      </c>
      <c r="AJ529">
        <v>8</v>
      </c>
    </row>
    <row r="530" spans="1:36"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H530">
        <v>3</v>
      </c>
      <c r="AI530">
        <v>1</v>
      </c>
      <c r="AJ530">
        <v>3</v>
      </c>
    </row>
    <row r="531" spans="1:36"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H531">
        <v>7</v>
      </c>
      <c r="AI531">
        <v>1</v>
      </c>
      <c r="AJ531">
        <v>8</v>
      </c>
    </row>
    <row r="532" spans="1:36"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H532">
        <v>7</v>
      </c>
      <c r="AI532">
        <v>0</v>
      </c>
      <c r="AJ532">
        <v>7</v>
      </c>
    </row>
    <row r="533" spans="1:36"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H533">
        <v>7</v>
      </c>
      <c r="AI533">
        <v>7</v>
      </c>
      <c r="AJ533">
        <v>7</v>
      </c>
    </row>
    <row r="534" spans="1:36"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H534">
        <v>7</v>
      </c>
      <c r="AI534">
        <v>1</v>
      </c>
      <c r="AJ534">
        <v>7</v>
      </c>
    </row>
    <row r="535" spans="1:36"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H535">
        <v>13</v>
      </c>
      <c r="AI535">
        <v>1</v>
      </c>
      <c r="AJ535">
        <v>12</v>
      </c>
    </row>
    <row r="536" spans="1:36"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H536">
        <v>1</v>
      </c>
      <c r="AI536">
        <v>1</v>
      </c>
      <c r="AJ536">
        <v>3</v>
      </c>
    </row>
    <row r="537" spans="1:36"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H537">
        <v>6</v>
      </c>
      <c r="AI537">
        <v>12</v>
      </c>
      <c r="AJ537">
        <v>6</v>
      </c>
    </row>
    <row r="538" spans="1:36"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H538">
        <v>2</v>
      </c>
      <c r="AI538">
        <v>2</v>
      </c>
      <c r="AJ538">
        <v>2</v>
      </c>
    </row>
    <row r="539" spans="1:36"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H539">
        <v>7</v>
      </c>
      <c r="AI539">
        <v>1</v>
      </c>
      <c r="AJ539">
        <v>7</v>
      </c>
    </row>
    <row r="540" spans="1:36"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H540">
        <v>7</v>
      </c>
      <c r="AI540">
        <v>2</v>
      </c>
      <c r="AJ540">
        <v>10</v>
      </c>
    </row>
    <row r="541" spans="1:36"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H541">
        <v>2</v>
      </c>
      <c r="AI541">
        <v>2</v>
      </c>
      <c r="AJ541">
        <v>2</v>
      </c>
    </row>
    <row r="542" spans="1:36"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H542">
        <v>7</v>
      </c>
      <c r="AI542">
        <v>3</v>
      </c>
      <c r="AJ542">
        <v>7</v>
      </c>
    </row>
    <row r="543" spans="1:36"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H543">
        <v>7</v>
      </c>
      <c r="AI543">
        <v>0</v>
      </c>
      <c r="AJ543">
        <v>5</v>
      </c>
    </row>
    <row r="544" spans="1:36"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H544">
        <v>0</v>
      </c>
      <c r="AI544">
        <v>0</v>
      </c>
      <c r="AJ544">
        <v>0</v>
      </c>
    </row>
    <row r="545" spans="1:36"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H545">
        <v>2</v>
      </c>
      <c r="AI545">
        <v>1</v>
      </c>
      <c r="AJ545">
        <v>4</v>
      </c>
    </row>
    <row r="546" spans="1:36"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H546">
        <v>2</v>
      </c>
      <c r="AI546">
        <v>11</v>
      </c>
      <c r="AJ546">
        <v>13</v>
      </c>
    </row>
    <row r="547" spans="1:36"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H547">
        <v>7</v>
      </c>
      <c r="AI547">
        <v>7</v>
      </c>
      <c r="AJ547">
        <v>7</v>
      </c>
    </row>
    <row r="548" spans="1:36"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H548">
        <v>0</v>
      </c>
      <c r="AI548">
        <v>0</v>
      </c>
      <c r="AJ548">
        <v>0</v>
      </c>
    </row>
    <row r="549" spans="1:36"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H549">
        <v>2</v>
      </c>
      <c r="AI549">
        <v>2</v>
      </c>
      <c r="AJ549">
        <v>2</v>
      </c>
    </row>
    <row r="550" spans="1:36"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H550">
        <v>2</v>
      </c>
      <c r="AI550">
        <v>2</v>
      </c>
      <c r="AJ550">
        <v>2</v>
      </c>
    </row>
    <row r="551" spans="1:36"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H551">
        <v>1</v>
      </c>
      <c r="AI551">
        <v>4</v>
      </c>
      <c r="AJ551">
        <v>3</v>
      </c>
    </row>
    <row r="552" spans="1:36"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H552">
        <v>3</v>
      </c>
      <c r="AI552">
        <v>0</v>
      </c>
      <c r="AJ552">
        <v>2</v>
      </c>
    </row>
    <row r="553" spans="1:36"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H553">
        <v>3</v>
      </c>
      <c r="AI553">
        <v>3</v>
      </c>
      <c r="AJ553">
        <v>6</v>
      </c>
    </row>
    <row r="554" spans="1:36"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H554">
        <v>7</v>
      </c>
      <c r="AI554">
        <v>1</v>
      </c>
      <c r="AJ554">
        <v>1</v>
      </c>
    </row>
    <row r="555" spans="1:36"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H555">
        <v>2</v>
      </c>
      <c r="AI555">
        <v>2</v>
      </c>
      <c r="AJ555">
        <v>3</v>
      </c>
    </row>
    <row r="556" spans="1:36"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H556">
        <v>6</v>
      </c>
      <c r="AI556">
        <v>0</v>
      </c>
      <c r="AJ556">
        <v>7</v>
      </c>
    </row>
    <row r="557" spans="1:36"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H557">
        <v>2</v>
      </c>
      <c r="AI557">
        <v>2</v>
      </c>
      <c r="AJ557">
        <v>2</v>
      </c>
    </row>
    <row r="558" spans="1:36"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H558">
        <v>2</v>
      </c>
      <c r="AI558">
        <v>2</v>
      </c>
      <c r="AJ558">
        <v>2</v>
      </c>
    </row>
    <row r="559" spans="1:36"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H559">
        <v>0</v>
      </c>
      <c r="AI559">
        <v>0</v>
      </c>
      <c r="AJ559">
        <v>0</v>
      </c>
    </row>
    <row r="560" spans="1:36"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H560">
        <v>8</v>
      </c>
      <c r="AI560">
        <v>4</v>
      </c>
      <c r="AJ560">
        <v>7</v>
      </c>
    </row>
    <row r="561" spans="1:36"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H561">
        <v>0</v>
      </c>
      <c r="AI561">
        <v>0</v>
      </c>
      <c r="AJ561">
        <v>1</v>
      </c>
    </row>
    <row r="562" spans="1:36"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H562">
        <v>0</v>
      </c>
      <c r="AI562">
        <v>0</v>
      </c>
      <c r="AJ562">
        <v>0</v>
      </c>
    </row>
    <row r="563" spans="1:36"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H563">
        <v>6</v>
      </c>
      <c r="AI563">
        <v>1</v>
      </c>
      <c r="AJ563">
        <v>16</v>
      </c>
    </row>
    <row r="564" spans="1:36"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H564">
        <v>9</v>
      </c>
      <c r="AI564">
        <v>7</v>
      </c>
      <c r="AJ564">
        <v>8</v>
      </c>
    </row>
    <row r="565" spans="1:36"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H565">
        <v>5</v>
      </c>
      <c r="AI565">
        <v>1</v>
      </c>
      <c r="AJ565">
        <v>4</v>
      </c>
    </row>
    <row r="566" spans="1:36"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H566">
        <v>7</v>
      </c>
      <c r="AI566">
        <v>3</v>
      </c>
      <c r="AJ566">
        <v>1</v>
      </c>
    </row>
    <row r="567" spans="1:36"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H567">
        <v>2</v>
      </c>
      <c r="AI567">
        <v>0</v>
      </c>
      <c r="AJ567">
        <v>2</v>
      </c>
    </row>
    <row r="568" spans="1:36"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H568">
        <v>4</v>
      </c>
      <c r="AI568">
        <v>1</v>
      </c>
      <c r="AJ568">
        <v>3</v>
      </c>
    </row>
    <row r="569" spans="1:36"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H569">
        <v>5</v>
      </c>
      <c r="AI569">
        <v>1</v>
      </c>
      <c r="AJ569">
        <v>4</v>
      </c>
    </row>
    <row r="570" spans="1:36"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H570">
        <v>2</v>
      </c>
      <c r="AI570">
        <v>1</v>
      </c>
      <c r="AJ570">
        <v>4</v>
      </c>
    </row>
    <row r="571" spans="1:36"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H571">
        <v>7</v>
      </c>
      <c r="AI571">
        <v>0</v>
      </c>
      <c r="AJ571">
        <v>9</v>
      </c>
    </row>
    <row r="572" spans="1:36"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H572">
        <v>3</v>
      </c>
      <c r="AI572">
        <v>1</v>
      </c>
      <c r="AJ572">
        <v>2</v>
      </c>
    </row>
    <row r="573" spans="1:36"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H573">
        <v>2</v>
      </c>
      <c r="AI573">
        <v>2</v>
      </c>
      <c r="AJ573">
        <v>0</v>
      </c>
    </row>
    <row r="574" spans="1:36"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H574">
        <v>7</v>
      </c>
      <c r="AI574">
        <v>1</v>
      </c>
      <c r="AJ574">
        <v>1</v>
      </c>
    </row>
    <row r="575" spans="1:36"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H575">
        <v>3</v>
      </c>
      <c r="AI575">
        <v>1</v>
      </c>
      <c r="AJ575">
        <v>2</v>
      </c>
    </row>
    <row r="576" spans="1:36"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H576">
        <v>2</v>
      </c>
      <c r="AI576">
        <v>1</v>
      </c>
      <c r="AJ576">
        <v>3</v>
      </c>
    </row>
    <row r="577" spans="1:36"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H577">
        <v>3</v>
      </c>
      <c r="AI577">
        <v>1</v>
      </c>
      <c r="AJ577">
        <v>4</v>
      </c>
    </row>
    <row r="578" spans="1:36"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H578">
        <v>2</v>
      </c>
      <c r="AI578">
        <v>1</v>
      </c>
      <c r="AJ578">
        <v>1</v>
      </c>
    </row>
    <row r="579" spans="1:36"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H579">
        <v>3</v>
      </c>
      <c r="AI579">
        <v>4</v>
      </c>
      <c r="AJ579">
        <v>3</v>
      </c>
    </row>
    <row r="580" spans="1:36"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H580">
        <v>7</v>
      </c>
      <c r="AI580">
        <v>4</v>
      </c>
      <c r="AJ580">
        <v>12</v>
      </c>
    </row>
    <row r="581" spans="1:36"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H581">
        <v>5</v>
      </c>
      <c r="AI581">
        <v>1</v>
      </c>
      <c r="AJ581">
        <v>3</v>
      </c>
    </row>
    <row r="582" spans="1:36"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H582">
        <v>2</v>
      </c>
      <c r="AI582">
        <v>0</v>
      </c>
      <c r="AJ582">
        <v>2</v>
      </c>
    </row>
    <row r="583" spans="1:36"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H583">
        <v>2</v>
      </c>
      <c r="AI583">
        <v>0</v>
      </c>
      <c r="AJ583">
        <v>2</v>
      </c>
    </row>
    <row r="584" spans="1:36"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H584">
        <v>7</v>
      </c>
      <c r="AI584">
        <v>3</v>
      </c>
      <c r="AJ584">
        <v>7</v>
      </c>
    </row>
    <row r="585" spans="1:36"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H585">
        <v>2</v>
      </c>
      <c r="AI585">
        <v>1</v>
      </c>
      <c r="AJ585">
        <v>2</v>
      </c>
    </row>
    <row r="586" spans="1:36"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H586">
        <v>7</v>
      </c>
      <c r="AI586">
        <v>14</v>
      </c>
      <c r="AJ586">
        <v>9</v>
      </c>
    </row>
    <row r="587" spans="1:36"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H587">
        <v>0</v>
      </c>
      <c r="AI587">
        <v>0</v>
      </c>
      <c r="AJ587">
        <v>0</v>
      </c>
    </row>
    <row r="588" spans="1:36"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H588">
        <v>0</v>
      </c>
      <c r="AI588">
        <v>0</v>
      </c>
      <c r="AJ588">
        <v>0</v>
      </c>
    </row>
    <row r="589" spans="1:36"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H589">
        <v>2</v>
      </c>
      <c r="AI589">
        <v>1</v>
      </c>
      <c r="AJ589">
        <v>4</v>
      </c>
    </row>
    <row r="590" spans="1:36"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H590">
        <v>3</v>
      </c>
      <c r="AI590">
        <v>0</v>
      </c>
      <c r="AJ590">
        <v>3</v>
      </c>
    </row>
    <row r="591" spans="1:36"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H591">
        <v>0</v>
      </c>
      <c r="AI591">
        <v>0</v>
      </c>
      <c r="AJ591">
        <v>0</v>
      </c>
    </row>
    <row r="592" spans="1:36"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H592">
        <v>9</v>
      </c>
      <c r="AI592">
        <v>3</v>
      </c>
      <c r="AJ592">
        <v>7</v>
      </c>
    </row>
    <row r="593" spans="1:36"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H593">
        <v>2</v>
      </c>
      <c r="AI593">
        <v>0</v>
      </c>
      <c r="AJ593">
        <v>2</v>
      </c>
    </row>
    <row r="594" spans="1:36"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H594">
        <v>14</v>
      </c>
      <c r="AI594">
        <v>3</v>
      </c>
      <c r="AJ594">
        <v>0</v>
      </c>
    </row>
    <row r="595" spans="1:36"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H595">
        <v>7</v>
      </c>
      <c r="AI595">
        <v>0</v>
      </c>
      <c r="AJ595">
        <v>5</v>
      </c>
    </row>
    <row r="596" spans="1:36"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H596">
        <v>7</v>
      </c>
      <c r="AI596">
        <v>0</v>
      </c>
      <c r="AJ596">
        <v>7</v>
      </c>
    </row>
    <row r="597" spans="1:36"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H597">
        <v>15</v>
      </c>
      <c r="AI597">
        <v>13</v>
      </c>
      <c r="AJ597">
        <v>8</v>
      </c>
    </row>
    <row r="598" spans="1:36"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H598">
        <v>2</v>
      </c>
      <c r="AI598">
        <v>2</v>
      </c>
      <c r="AJ598">
        <v>2</v>
      </c>
    </row>
    <row r="599" spans="1:36"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H599">
        <v>3</v>
      </c>
      <c r="AI599">
        <v>0</v>
      </c>
      <c r="AJ599">
        <v>2</v>
      </c>
    </row>
    <row r="600" spans="1:36"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H600">
        <v>2</v>
      </c>
      <c r="AI600">
        <v>2</v>
      </c>
      <c r="AJ600">
        <v>1</v>
      </c>
    </row>
    <row r="601" spans="1:36"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H601">
        <v>2</v>
      </c>
      <c r="AI601">
        <v>0</v>
      </c>
      <c r="AJ601">
        <v>4</v>
      </c>
    </row>
    <row r="602" spans="1:36"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H602">
        <v>13</v>
      </c>
      <c r="AI602">
        <v>6</v>
      </c>
      <c r="AJ602">
        <v>8</v>
      </c>
    </row>
    <row r="603" spans="1:36"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H603">
        <v>0</v>
      </c>
      <c r="AI603">
        <v>0</v>
      </c>
      <c r="AJ603">
        <v>0</v>
      </c>
    </row>
    <row r="604" spans="1:36"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H604">
        <v>0</v>
      </c>
      <c r="AI604">
        <v>0</v>
      </c>
      <c r="AJ604">
        <v>0</v>
      </c>
    </row>
    <row r="605" spans="1:36"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H605">
        <v>0</v>
      </c>
      <c r="AI605">
        <v>0</v>
      </c>
      <c r="AJ605">
        <v>0</v>
      </c>
    </row>
    <row r="606" spans="1:36"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H606">
        <v>8</v>
      </c>
      <c r="AI606">
        <v>7</v>
      </c>
      <c r="AJ606">
        <v>8</v>
      </c>
    </row>
    <row r="607" spans="1:36"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H607">
        <v>3</v>
      </c>
      <c r="AI607">
        <v>1</v>
      </c>
      <c r="AJ607">
        <v>2</v>
      </c>
    </row>
    <row r="608" spans="1:36"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H608">
        <v>2</v>
      </c>
      <c r="AI608">
        <v>1</v>
      </c>
      <c r="AJ608">
        <v>3</v>
      </c>
    </row>
    <row r="609" spans="1:36"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H609">
        <v>8</v>
      </c>
      <c r="AI609">
        <v>7</v>
      </c>
      <c r="AJ609">
        <v>7</v>
      </c>
    </row>
    <row r="610" spans="1:36"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H610">
        <v>7</v>
      </c>
      <c r="AI610">
        <v>7</v>
      </c>
      <c r="AJ610">
        <v>3</v>
      </c>
    </row>
    <row r="611" spans="1:36"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H611">
        <v>1</v>
      </c>
      <c r="AI611">
        <v>1</v>
      </c>
      <c r="AJ611">
        <v>0</v>
      </c>
    </row>
    <row r="612" spans="1:36"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H612">
        <v>8</v>
      </c>
      <c r="AI612">
        <v>0</v>
      </c>
      <c r="AJ612">
        <v>8</v>
      </c>
    </row>
    <row r="613" spans="1:36"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H613">
        <v>5</v>
      </c>
      <c r="AI613">
        <v>1</v>
      </c>
      <c r="AJ613">
        <v>6</v>
      </c>
    </row>
    <row r="614" spans="1:36"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H614">
        <v>7</v>
      </c>
      <c r="AI614">
        <v>7</v>
      </c>
      <c r="AJ614">
        <v>5</v>
      </c>
    </row>
    <row r="615" spans="1:36"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H615">
        <v>2</v>
      </c>
      <c r="AI615">
        <v>0</v>
      </c>
      <c r="AJ615">
        <v>2</v>
      </c>
    </row>
    <row r="616" spans="1:36"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H616">
        <v>7</v>
      </c>
      <c r="AI616">
        <v>1</v>
      </c>
      <c r="AJ616">
        <v>7</v>
      </c>
    </row>
    <row r="617" spans="1:36"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H617">
        <v>0</v>
      </c>
      <c r="AI617">
        <v>0</v>
      </c>
      <c r="AJ617">
        <v>0</v>
      </c>
    </row>
    <row r="618" spans="1:36"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H618">
        <v>6</v>
      </c>
      <c r="AI618">
        <v>4</v>
      </c>
      <c r="AJ618">
        <v>17</v>
      </c>
    </row>
    <row r="619" spans="1:36"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H619">
        <v>2</v>
      </c>
      <c r="AI619">
        <v>2</v>
      </c>
      <c r="AJ619">
        <v>3</v>
      </c>
    </row>
    <row r="620" spans="1:36"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H620">
        <v>3</v>
      </c>
      <c r="AI620">
        <v>0</v>
      </c>
      <c r="AJ620">
        <v>1</v>
      </c>
    </row>
    <row r="621" spans="1:36"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H621">
        <v>8</v>
      </c>
      <c r="AI621">
        <v>0</v>
      </c>
      <c r="AJ621">
        <v>8</v>
      </c>
    </row>
    <row r="622" spans="1:36"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H622">
        <v>5</v>
      </c>
      <c r="AI622">
        <v>1</v>
      </c>
      <c r="AJ622">
        <v>1</v>
      </c>
    </row>
    <row r="623" spans="1:36"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H623">
        <v>14</v>
      </c>
      <c r="AI623">
        <v>4</v>
      </c>
      <c r="AJ623">
        <v>11</v>
      </c>
    </row>
    <row r="624" spans="1:36"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H624">
        <v>2</v>
      </c>
      <c r="AI624">
        <v>0</v>
      </c>
      <c r="AJ624">
        <v>3</v>
      </c>
    </row>
    <row r="625" spans="1:36"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H625">
        <v>4</v>
      </c>
      <c r="AI625">
        <v>0</v>
      </c>
      <c r="AJ625">
        <v>3</v>
      </c>
    </row>
    <row r="626" spans="1:36"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H626">
        <v>2</v>
      </c>
      <c r="AI626">
        <v>0</v>
      </c>
      <c r="AJ626">
        <v>4</v>
      </c>
    </row>
    <row r="627" spans="1:36"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H627">
        <v>4</v>
      </c>
      <c r="AI627">
        <v>0</v>
      </c>
      <c r="AJ627">
        <v>2</v>
      </c>
    </row>
    <row r="628" spans="1:36"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H628">
        <v>3</v>
      </c>
      <c r="AI628">
        <v>1</v>
      </c>
      <c r="AJ628">
        <v>3</v>
      </c>
    </row>
    <row r="629" spans="1:36"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H629">
        <v>8</v>
      </c>
      <c r="AI629">
        <v>0</v>
      </c>
      <c r="AJ629">
        <v>0</v>
      </c>
    </row>
    <row r="630" spans="1:36"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H630">
        <v>0</v>
      </c>
      <c r="AI630">
        <v>0</v>
      </c>
      <c r="AJ630">
        <v>0</v>
      </c>
    </row>
    <row r="631" spans="1:36"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H631">
        <v>1</v>
      </c>
      <c r="AI631">
        <v>0</v>
      </c>
      <c r="AJ631">
        <v>4</v>
      </c>
    </row>
    <row r="632" spans="1:36"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H632">
        <v>2</v>
      </c>
      <c r="AI632">
        <v>2</v>
      </c>
      <c r="AJ632">
        <v>2</v>
      </c>
    </row>
    <row r="633" spans="1:36"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H633">
        <v>2</v>
      </c>
      <c r="AI633">
        <v>0</v>
      </c>
      <c r="AJ633">
        <v>2</v>
      </c>
    </row>
    <row r="634" spans="1:36"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H634">
        <v>1</v>
      </c>
      <c r="AI634">
        <v>2</v>
      </c>
      <c r="AJ634">
        <v>2</v>
      </c>
    </row>
    <row r="635" spans="1:36"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H635">
        <v>4</v>
      </c>
      <c r="AI635">
        <v>0</v>
      </c>
      <c r="AJ635">
        <v>3</v>
      </c>
    </row>
    <row r="636" spans="1:36"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H636">
        <v>3</v>
      </c>
      <c r="AI636">
        <v>0</v>
      </c>
      <c r="AJ636">
        <v>3</v>
      </c>
    </row>
    <row r="637" spans="1:36"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H637">
        <v>14</v>
      </c>
      <c r="AI637">
        <v>5</v>
      </c>
      <c r="AJ637">
        <v>15</v>
      </c>
    </row>
    <row r="638" spans="1:36"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H638">
        <v>2</v>
      </c>
      <c r="AI638">
        <v>7</v>
      </c>
      <c r="AJ638">
        <v>8</v>
      </c>
    </row>
    <row r="639" spans="1:36"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H639">
        <v>0</v>
      </c>
      <c r="AI639">
        <v>0</v>
      </c>
      <c r="AJ639">
        <v>2</v>
      </c>
    </row>
    <row r="640" spans="1:36"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H640">
        <v>2</v>
      </c>
      <c r="AI640">
        <v>0</v>
      </c>
      <c r="AJ640">
        <v>3</v>
      </c>
    </row>
    <row r="641" spans="1:36"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H641">
        <v>2</v>
      </c>
      <c r="AI641">
        <v>0</v>
      </c>
      <c r="AJ641">
        <v>2</v>
      </c>
    </row>
    <row r="642" spans="1:36"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H642">
        <v>2</v>
      </c>
      <c r="AI642">
        <v>3</v>
      </c>
      <c r="AJ642">
        <v>4</v>
      </c>
    </row>
    <row r="643" spans="1:36"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H643">
        <v>8</v>
      </c>
      <c r="AI643">
        <v>5</v>
      </c>
      <c r="AJ643">
        <v>3</v>
      </c>
    </row>
    <row r="644" spans="1:36"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H644">
        <v>2</v>
      </c>
      <c r="AI644">
        <v>1</v>
      </c>
      <c r="AJ644">
        <v>2</v>
      </c>
    </row>
    <row r="645" spans="1:36"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H645">
        <v>3</v>
      </c>
      <c r="AI645">
        <v>1</v>
      </c>
      <c r="AJ645">
        <v>3</v>
      </c>
    </row>
    <row r="646" spans="1:36"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H646">
        <v>4</v>
      </c>
      <c r="AI646">
        <v>0</v>
      </c>
      <c r="AJ646">
        <v>2</v>
      </c>
    </row>
    <row r="647" spans="1:36"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H647">
        <v>2</v>
      </c>
      <c r="AI647">
        <v>0</v>
      </c>
      <c r="AJ647">
        <v>2</v>
      </c>
    </row>
    <row r="648" spans="1:36"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H648">
        <v>0</v>
      </c>
      <c r="AI648">
        <v>2</v>
      </c>
      <c r="AJ648">
        <v>2</v>
      </c>
    </row>
    <row r="649" spans="1:36"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H649">
        <v>10</v>
      </c>
      <c r="AI649">
        <v>4</v>
      </c>
      <c r="AJ649">
        <v>8</v>
      </c>
    </row>
    <row r="650" spans="1:36"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H650">
        <v>4</v>
      </c>
      <c r="AI650">
        <v>0</v>
      </c>
      <c r="AJ650">
        <v>0</v>
      </c>
    </row>
    <row r="651" spans="1:36"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H651">
        <v>9</v>
      </c>
      <c r="AI651">
        <v>3</v>
      </c>
      <c r="AJ651">
        <v>8</v>
      </c>
    </row>
    <row r="652" spans="1:36"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H652">
        <v>2</v>
      </c>
      <c r="AI652">
        <v>2</v>
      </c>
      <c r="AJ652">
        <v>2</v>
      </c>
    </row>
    <row r="653" spans="1:36"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H653">
        <v>6</v>
      </c>
      <c r="AI653">
        <v>7</v>
      </c>
      <c r="AJ653">
        <v>7</v>
      </c>
    </row>
    <row r="654" spans="1:36"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H654">
        <v>0</v>
      </c>
      <c r="AI654">
        <v>0</v>
      </c>
      <c r="AJ654">
        <v>9</v>
      </c>
    </row>
    <row r="655" spans="1:36"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H655">
        <v>6</v>
      </c>
      <c r="AI655">
        <v>14</v>
      </c>
      <c r="AJ655">
        <v>7</v>
      </c>
    </row>
    <row r="656" spans="1:36"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H656">
        <v>4</v>
      </c>
      <c r="AI656">
        <v>0</v>
      </c>
      <c r="AJ656">
        <v>4</v>
      </c>
    </row>
    <row r="657" spans="1:36"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H657">
        <v>3</v>
      </c>
      <c r="AI657">
        <v>0</v>
      </c>
      <c r="AJ657">
        <v>3</v>
      </c>
    </row>
    <row r="658" spans="1:36"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H658">
        <v>0</v>
      </c>
      <c r="AI658">
        <v>0</v>
      </c>
      <c r="AJ658">
        <v>1</v>
      </c>
    </row>
    <row r="659" spans="1:36"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H659">
        <v>3</v>
      </c>
      <c r="AI659">
        <v>0</v>
      </c>
      <c r="AJ659">
        <v>3</v>
      </c>
    </row>
    <row r="660" spans="1:36"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H660">
        <v>7</v>
      </c>
      <c r="AI660">
        <v>7</v>
      </c>
      <c r="AJ660">
        <v>1</v>
      </c>
    </row>
    <row r="661" spans="1:36"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H661">
        <v>2</v>
      </c>
      <c r="AI661">
        <v>0</v>
      </c>
      <c r="AJ661">
        <v>2</v>
      </c>
    </row>
    <row r="662" spans="1:36"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H662">
        <v>0</v>
      </c>
      <c r="AI662">
        <v>0</v>
      </c>
      <c r="AJ662">
        <v>0</v>
      </c>
    </row>
    <row r="663" spans="1:36"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H663">
        <v>0</v>
      </c>
      <c r="AI663">
        <v>0</v>
      </c>
      <c r="AJ663">
        <v>0</v>
      </c>
    </row>
    <row r="664" spans="1:36"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H664">
        <v>2</v>
      </c>
      <c r="AI664">
        <v>0</v>
      </c>
      <c r="AJ664">
        <v>2</v>
      </c>
    </row>
    <row r="665" spans="1:36"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H665">
        <v>0</v>
      </c>
      <c r="AI665">
        <v>0</v>
      </c>
      <c r="AJ665">
        <v>0</v>
      </c>
    </row>
    <row r="666" spans="1:36"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H666">
        <v>8</v>
      </c>
      <c r="AI666">
        <v>4</v>
      </c>
      <c r="AJ666">
        <v>11</v>
      </c>
    </row>
    <row r="667" spans="1:36"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H667">
        <v>2</v>
      </c>
      <c r="AI667">
        <v>1</v>
      </c>
      <c r="AJ667">
        <v>2</v>
      </c>
    </row>
    <row r="668" spans="1:36"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H668">
        <v>2</v>
      </c>
      <c r="AI668">
        <v>0</v>
      </c>
      <c r="AJ668">
        <v>2</v>
      </c>
    </row>
    <row r="669" spans="1:36"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H669">
        <v>7</v>
      </c>
      <c r="AI669">
        <v>1</v>
      </c>
      <c r="AJ669">
        <v>0</v>
      </c>
    </row>
    <row r="670" spans="1:36"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H670">
        <v>2</v>
      </c>
      <c r="AI670">
        <v>2</v>
      </c>
      <c r="AJ670">
        <v>2</v>
      </c>
    </row>
    <row r="671" spans="1:36"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H671">
        <v>2</v>
      </c>
      <c r="AI671">
        <v>2</v>
      </c>
      <c r="AJ671">
        <v>2</v>
      </c>
    </row>
    <row r="672" spans="1:36"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H672">
        <v>1</v>
      </c>
      <c r="AI672">
        <v>0</v>
      </c>
      <c r="AJ672">
        <v>0</v>
      </c>
    </row>
    <row r="673" spans="1:36"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H673">
        <v>0</v>
      </c>
      <c r="AI673">
        <v>1</v>
      </c>
      <c r="AJ673">
        <v>0</v>
      </c>
    </row>
    <row r="674" spans="1:36"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H674">
        <v>4</v>
      </c>
      <c r="AI674">
        <v>0</v>
      </c>
      <c r="AJ674">
        <v>3</v>
      </c>
    </row>
    <row r="675" spans="1:36"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H675">
        <v>2</v>
      </c>
      <c r="AI675">
        <v>0</v>
      </c>
      <c r="AJ675">
        <v>2</v>
      </c>
    </row>
    <row r="676" spans="1:36"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H676">
        <v>0</v>
      </c>
      <c r="AI676">
        <v>0</v>
      </c>
      <c r="AJ676">
        <v>4</v>
      </c>
    </row>
    <row r="677" spans="1:36"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H677">
        <v>7</v>
      </c>
      <c r="AI677">
        <v>5</v>
      </c>
      <c r="AJ677">
        <v>2</v>
      </c>
    </row>
    <row r="678" spans="1:36"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H678">
        <v>6</v>
      </c>
      <c r="AI678">
        <v>0</v>
      </c>
      <c r="AJ678">
        <v>7</v>
      </c>
    </row>
    <row r="679" spans="1:36"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H679">
        <v>9</v>
      </c>
      <c r="AI679">
        <v>1</v>
      </c>
      <c r="AJ679">
        <v>7</v>
      </c>
    </row>
    <row r="680" spans="1:36"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H680">
        <v>0</v>
      </c>
      <c r="AI680">
        <v>0</v>
      </c>
      <c r="AJ680">
        <v>0</v>
      </c>
    </row>
    <row r="681" spans="1:36"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H681">
        <v>8</v>
      </c>
      <c r="AI681">
        <v>0</v>
      </c>
      <c r="AJ681">
        <v>0</v>
      </c>
    </row>
    <row r="682" spans="1:36"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H682">
        <v>2</v>
      </c>
      <c r="AI682">
        <v>0</v>
      </c>
      <c r="AJ682">
        <v>1</v>
      </c>
    </row>
    <row r="683" spans="1:36"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H683">
        <v>12</v>
      </c>
      <c r="AI683">
        <v>5</v>
      </c>
      <c r="AJ683">
        <v>11</v>
      </c>
    </row>
    <row r="684" spans="1:36"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H684">
        <v>0</v>
      </c>
      <c r="AI684">
        <v>0</v>
      </c>
      <c r="AJ684">
        <v>2</v>
      </c>
    </row>
    <row r="685" spans="1:36"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H685">
        <v>0</v>
      </c>
      <c r="AI685">
        <v>0</v>
      </c>
      <c r="AJ685">
        <v>0</v>
      </c>
    </row>
    <row r="686" spans="1:36"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H686">
        <v>0</v>
      </c>
      <c r="AI686">
        <v>0</v>
      </c>
      <c r="AJ686">
        <v>0</v>
      </c>
    </row>
    <row r="687" spans="1:36"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H687">
        <v>7</v>
      </c>
      <c r="AI687">
        <v>0</v>
      </c>
      <c r="AJ687">
        <v>7</v>
      </c>
    </row>
    <row r="688" spans="1:36"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H688">
        <v>13</v>
      </c>
      <c r="AI688">
        <v>2</v>
      </c>
      <c r="AJ688">
        <v>17</v>
      </c>
    </row>
    <row r="689" spans="1:36"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H689">
        <v>8</v>
      </c>
      <c r="AI689">
        <v>3</v>
      </c>
      <c r="AJ689">
        <v>9</v>
      </c>
    </row>
    <row r="690" spans="1:36"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H690">
        <v>0</v>
      </c>
      <c r="AI690">
        <v>0</v>
      </c>
      <c r="AJ690">
        <v>0</v>
      </c>
    </row>
    <row r="691" spans="1:36"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H691">
        <v>0</v>
      </c>
      <c r="AI691">
        <v>0</v>
      </c>
      <c r="AJ691">
        <v>0</v>
      </c>
    </row>
    <row r="692" spans="1:36"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H692">
        <v>7</v>
      </c>
      <c r="AI692">
        <v>8</v>
      </c>
      <c r="AJ692">
        <v>5</v>
      </c>
    </row>
    <row r="693" spans="1:36"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H693">
        <v>1</v>
      </c>
      <c r="AI693">
        <v>0</v>
      </c>
      <c r="AJ693">
        <v>0</v>
      </c>
    </row>
    <row r="694" spans="1:36"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H694">
        <v>7</v>
      </c>
      <c r="AI694">
        <v>6</v>
      </c>
      <c r="AJ694">
        <v>3</v>
      </c>
    </row>
    <row r="695" spans="1:36"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H695">
        <v>7</v>
      </c>
      <c r="AI695">
        <v>3</v>
      </c>
      <c r="AJ695">
        <v>7</v>
      </c>
    </row>
    <row r="696" spans="1:36"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H696">
        <v>0</v>
      </c>
      <c r="AI696">
        <v>1</v>
      </c>
      <c r="AJ696">
        <v>4</v>
      </c>
    </row>
    <row r="697" spans="1:36"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H697">
        <v>1</v>
      </c>
      <c r="AI697">
        <v>11</v>
      </c>
      <c r="AJ697">
        <v>7</v>
      </c>
    </row>
    <row r="698" spans="1:36"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H698">
        <v>7</v>
      </c>
      <c r="AI698">
        <v>0</v>
      </c>
      <c r="AJ698">
        <v>8</v>
      </c>
    </row>
    <row r="699" spans="1:36"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H699">
        <v>1</v>
      </c>
      <c r="AI699">
        <v>0</v>
      </c>
      <c r="AJ699">
        <v>2</v>
      </c>
    </row>
    <row r="700" spans="1:36"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H700">
        <v>2</v>
      </c>
      <c r="AI700">
        <v>1</v>
      </c>
      <c r="AJ700">
        <v>0</v>
      </c>
    </row>
    <row r="701" spans="1:36"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H701">
        <v>8</v>
      </c>
      <c r="AI701">
        <v>7</v>
      </c>
      <c r="AJ701">
        <v>8</v>
      </c>
    </row>
    <row r="702" spans="1:36"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H702">
        <v>0</v>
      </c>
      <c r="AI702">
        <v>0</v>
      </c>
      <c r="AJ702">
        <v>0</v>
      </c>
    </row>
    <row r="703" spans="1:36"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H703">
        <v>13</v>
      </c>
      <c r="AI703">
        <v>15</v>
      </c>
      <c r="AJ703">
        <v>2</v>
      </c>
    </row>
    <row r="704" spans="1:36"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H704">
        <v>4</v>
      </c>
      <c r="AI704">
        <v>7</v>
      </c>
      <c r="AJ704">
        <v>7</v>
      </c>
    </row>
    <row r="705" spans="1:36"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H705">
        <v>3</v>
      </c>
      <c r="AI705">
        <v>1</v>
      </c>
      <c r="AJ705">
        <v>3</v>
      </c>
    </row>
    <row r="706" spans="1:36"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H706">
        <v>9</v>
      </c>
      <c r="AI706">
        <v>0</v>
      </c>
      <c r="AJ706">
        <v>8</v>
      </c>
    </row>
    <row r="707" spans="1:36"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H707">
        <v>7</v>
      </c>
      <c r="AI707">
        <v>0</v>
      </c>
      <c r="AJ707">
        <v>7</v>
      </c>
    </row>
    <row r="708" spans="1:36"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H708">
        <v>0</v>
      </c>
      <c r="AI708">
        <v>0</v>
      </c>
      <c r="AJ708">
        <v>0</v>
      </c>
    </row>
    <row r="709" spans="1:36"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H709">
        <v>10</v>
      </c>
      <c r="AI709">
        <v>2</v>
      </c>
      <c r="AJ709">
        <v>7</v>
      </c>
    </row>
    <row r="710" spans="1:36"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H710">
        <v>7</v>
      </c>
      <c r="AI710">
        <v>0</v>
      </c>
      <c r="AJ710">
        <v>7</v>
      </c>
    </row>
    <row r="711" spans="1:36"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H711">
        <v>2</v>
      </c>
      <c r="AI711">
        <v>1</v>
      </c>
      <c r="AJ711">
        <v>2</v>
      </c>
    </row>
    <row r="712" spans="1:36"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H712">
        <v>8</v>
      </c>
      <c r="AI712">
        <v>6</v>
      </c>
      <c r="AJ712">
        <v>0</v>
      </c>
    </row>
    <row r="713" spans="1:36"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H713">
        <v>0</v>
      </c>
      <c r="AI713">
        <v>0</v>
      </c>
      <c r="AJ713">
        <v>0</v>
      </c>
    </row>
    <row r="714" spans="1:36"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H714">
        <v>2</v>
      </c>
      <c r="AI714">
        <v>0</v>
      </c>
      <c r="AJ714">
        <v>2</v>
      </c>
    </row>
    <row r="715" spans="1:36"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H715">
        <v>3</v>
      </c>
      <c r="AI715">
        <v>0</v>
      </c>
      <c r="AJ715">
        <v>2</v>
      </c>
    </row>
    <row r="716" spans="1:36"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H716">
        <v>4</v>
      </c>
      <c r="AI716">
        <v>1</v>
      </c>
      <c r="AJ716">
        <v>3</v>
      </c>
    </row>
    <row r="717" spans="1:36"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H717">
        <v>5</v>
      </c>
      <c r="AI717">
        <v>1</v>
      </c>
      <c r="AJ717">
        <v>2</v>
      </c>
    </row>
    <row r="718" spans="1:36"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H718">
        <v>16</v>
      </c>
      <c r="AI718">
        <v>0</v>
      </c>
      <c r="AJ718">
        <v>11</v>
      </c>
    </row>
    <row r="719" spans="1:36"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H719">
        <v>2</v>
      </c>
      <c r="AI719">
        <v>2</v>
      </c>
      <c r="AJ719">
        <v>2</v>
      </c>
    </row>
    <row r="720" spans="1:36"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H720">
        <v>8</v>
      </c>
      <c r="AI720">
        <v>0</v>
      </c>
      <c r="AJ720">
        <v>8</v>
      </c>
    </row>
    <row r="721" spans="1:36"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H721">
        <v>0</v>
      </c>
      <c r="AI721">
        <v>0</v>
      </c>
      <c r="AJ721">
        <v>7</v>
      </c>
    </row>
    <row r="722" spans="1:36"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H722">
        <v>2</v>
      </c>
      <c r="AI722">
        <v>0</v>
      </c>
      <c r="AJ722">
        <v>1</v>
      </c>
    </row>
    <row r="723" spans="1:36"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H723">
        <v>11</v>
      </c>
      <c r="AI723">
        <v>1</v>
      </c>
      <c r="AJ723">
        <v>5</v>
      </c>
    </row>
    <row r="724" spans="1:36"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H724">
        <v>1</v>
      </c>
      <c r="AI724">
        <v>0</v>
      </c>
      <c r="AJ724">
        <v>2</v>
      </c>
    </row>
    <row r="725" spans="1:36"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H725">
        <v>7</v>
      </c>
      <c r="AI725">
        <v>0</v>
      </c>
      <c r="AJ725">
        <v>7</v>
      </c>
    </row>
    <row r="726" spans="1:36"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H726">
        <v>2</v>
      </c>
      <c r="AI726">
        <v>3</v>
      </c>
      <c r="AJ726">
        <v>2</v>
      </c>
    </row>
    <row r="727" spans="1:36"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H727">
        <v>2</v>
      </c>
      <c r="AI727">
        <v>0</v>
      </c>
      <c r="AJ727">
        <v>2</v>
      </c>
    </row>
    <row r="728" spans="1:36"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H728">
        <v>3</v>
      </c>
      <c r="AI728">
        <v>0</v>
      </c>
      <c r="AJ728">
        <v>3</v>
      </c>
    </row>
    <row r="729" spans="1:36"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H729">
        <v>0</v>
      </c>
      <c r="AI729">
        <v>0</v>
      </c>
      <c r="AJ729">
        <v>0</v>
      </c>
    </row>
    <row r="730" spans="1:36"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H730">
        <v>7</v>
      </c>
      <c r="AI730">
        <v>0</v>
      </c>
      <c r="AJ730">
        <v>8</v>
      </c>
    </row>
    <row r="731" spans="1:36"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H731">
        <v>10</v>
      </c>
      <c r="AI731">
        <v>10</v>
      </c>
      <c r="AJ731">
        <v>1</v>
      </c>
    </row>
    <row r="732" spans="1:36"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H732">
        <v>7</v>
      </c>
      <c r="AI732">
        <v>1</v>
      </c>
      <c r="AJ732">
        <v>7</v>
      </c>
    </row>
    <row r="733" spans="1:36"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H733">
        <v>0</v>
      </c>
      <c r="AI733">
        <v>0</v>
      </c>
      <c r="AJ733">
        <v>0</v>
      </c>
    </row>
    <row r="734" spans="1:36"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H734">
        <v>2</v>
      </c>
      <c r="AI734">
        <v>1</v>
      </c>
      <c r="AJ734">
        <v>2</v>
      </c>
    </row>
    <row r="735" spans="1:36"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H735">
        <v>7</v>
      </c>
      <c r="AI735">
        <v>1</v>
      </c>
      <c r="AJ735">
        <v>3</v>
      </c>
    </row>
    <row r="736" spans="1:36"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H736">
        <v>3</v>
      </c>
      <c r="AI736">
        <v>1</v>
      </c>
      <c r="AJ736">
        <v>1</v>
      </c>
    </row>
    <row r="737" spans="1:36"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H737">
        <v>2</v>
      </c>
      <c r="AI737">
        <v>2</v>
      </c>
      <c r="AJ737">
        <v>2</v>
      </c>
    </row>
    <row r="738" spans="1:36"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H738">
        <v>11</v>
      </c>
      <c r="AI738">
        <v>4</v>
      </c>
      <c r="AJ738">
        <v>8</v>
      </c>
    </row>
    <row r="739" spans="1:36"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H739">
        <v>2</v>
      </c>
      <c r="AI739">
        <v>2</v>
      </c>
      <c r="AJ739">
        <v>1</v>
      </c>
    </row>
    <row r="740" spans="1:36"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H740">
        <v>6</v>
      </c>
      <c r="AI740">
        <v>11</v>
      </c>
      <c r="AJ740">
        <v>8</v>
      </c>
    </row>
    <row r="741" spans="1:36"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H741">
        <v>2</v>
      </c>
      <c r="AI741">
        <v>2</v>
      </c>
      <c r="AJ741">
        <v>2</v>
      </c>
    </row>
    <row r="742" spans="1:36"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H742">
        <v>2</v>
      </c>
      <c r="AI742">
        <v>1</v>
      </c>
      <c r="AJ742">
        <v>2</v>
      </c>
    </row>
    <row r="743" spans="1:36"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H743">
        <v>0</v>
      </c>
      <c r="AI743">
        <v>0</v>
      </c>
      <c r="AJ743">
        <v>0</v>
      </c>
    </row>
    <row r="744" spans="1:36"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H744">
        <v>0</v>
      </c>
      <c r="AI744">
        <v>0</v>
      </c>
      <c r="AJ744">
        <v>0</v>
      </c>
    </row>
    <row r="745" spans="1:36"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H745">
        <v>3</v>
      </c>
      <c r="AI745">
        <v>4</v>
      </c>
      <c r="AJ745">
        <v>3</v>
      </c>
    </row>
    <row r="746" spans="1:36"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H746">
        <v>0</v>
      </c>
      <c r="AI746">
        <v>0</v>
      </c>
      <c r="AJ746">
        <v>0</v>
      </c>
    </row>
    <row r="747" spans="1:36"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H747">
        <v>7</v>
      </c>
      <c r="AI747">
        <v>6</v>
      </c>
      <c r="AJ747">
        <v>7</v>
      </c>
    </row>
    <row r="748" spans="1:36"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H748">
        <v>16</v>
      </c>
      <c r="AI748">
        <v>5</v>
      </c>
      <c r="AJ748">
        <v>10</v>
      </c>
    </row>
    <row r="749" spans="1:36"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H749">
        <v>0</v>
      </c>
      <c r="AI749">
        <v>0</v>
      </c>
      <c r="AJ749">
        <v>0</v>
      </c>
    </row>
    <row r="750" spans="1:36"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H750">
        <v>2</v>
      </c>
      <c r="AI750">
        <v>2</v>
      </c>
      <c r="AJ750">
        <v>2</v>
      </c>
    </row>
    <row r="751" spans="1:36"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H751">
        <v>14</v>
      </c>
      <c r="AI751">
        <v>6</v>
      </c>
      <c r="AJ751">
        <v>9</v>
      </c>
    </row>
    <row r="752" spans="1:36"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H752">
        <v>11</v>
      </c>
      <c r="AI752">
        <v>11</v>
      </c>
      <c r="AJ752">
        <v>11</v>
      </c>
    </row>
    <row r="753" spans="1:36"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H753">
        <v>7</v>
      </c>
      <c r="AI753">
        <v>0</v>
      </c>
      <c r="AJ753">
        <v>13</v>
      </c>
    </row>
    <row r="754" spans="1:36"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H754">
        <v>13</v>
      </c>
      <c r="AI754">
        <v>15</v>
      </c>
      <c r="AJ754">
        <v>14</v>
      </c>
    </row>
    <row r="755" spans="1:36"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H755">
        <v>6</v>
      </c>
      <c r="AI755">
        <v>2</v>
      </c>
      <c r="AJ755">
        <v>8</v>
      </c>
    </row>
    <row r="756" spans="1:36"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H756">
        <v>2</v>
      </c>
      <c r="AI756">
        <v>2</v>
      </c>
      <c r="AJ756">
        <v>2</v>
      </c>
    </row>
    <row r="757" spans="1:36"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H757">
        <v>3</v>
      </c>
      <c r="AI757">
        <v>1</v>
      </c>
      <c r="AJ757">
        <v>1</v>
      </c>
    </row>
    <row r="758" spans="1:36"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H758">
        <v>7</v>
      </c>
      <c r="AI758">
        <v>7</v>
      </c>
      <c r="AJ758">
        <v>7</v>
      </c>
    </row>
    <row r="759" spans="1:36"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H759">
        <v>1</v>
      </c>
      <c r="AI759">
        <v>0</v>
      </c>
      <c r="AJ759">
        <v>9</v>
      </c>
    </row>
    <row r="760" spans="1:36"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H760">
        <v>4</v>
      </c>
      <c r="AI760">
        <v>0</v>
      </c>
      <c r="AJ760">
        <v>4</v>
      </c>
    </row>
    <row r="761" spans="1:36"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H761">
        <v>3</v>
      </c>
      <c r="AI761">
        <v>0</v>
      </c>
      <c r="AJ761">
        <v>4</v>
      </c>
    </row>
    <row r="762" spans="1:36"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H762">
        <v>7</v>
      </c>
      <c r="AI762">
        <v>6</v>
      </c>
      <c r="AJ762">
        <v>12</v>
      </c>
    </row>
    <row r="763" spans="1:36"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H763">
        <v>0</v>
      </c>
      <c r="AI763">
        <v>0</v>
      </c>
      <c r="AJ763">
        <v>0</v>
      </c>
    </row>
    <row r="764" spans="1:36"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H764">
        <v>2</v>
      </c>
      <c r="AI764">
        <v>1</v>
      </c>
      <c r="AJ764">
        <v>2</v>
      </c>
    </row>
    <row r="765" spans="1:36"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H765">
        <v>1</v>
      </c>
      <c r="AI765">
        <v>0</v>
      </c>
      <c r="AJ765">
        <v>0</v>
      </c>
    </row>
    <row r="766" spans="1:36"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H766">
        <v>0</v>
      </c>
      <c r="AI766">
        <v>0</v>
      </c>
      <c r="AJ766">
        <v>0</v>
      </c>
    </row>
    <row r="767" spans="1:36"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H767">
        <v>2</v>
      </c>
      <c r="AI767">
        <v>2</v>
      </c>
      <c r="AJ767">
        <v>2</v>
      </c>
    </row>
    <row r="768" spans="1:36"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H768">
        <v>1</v>
      </c>
      <c r="AI768">
        <v>7</v>
      </c>
      <c r="AJ768">
        <v>7</v>
      </c>
    </row>
    <row r="769" spans="1:36"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H769">
        <v>3</v>
      </c>
      <c r="AI769">
        <v>0</v>
      </c>
      <c r="AJ769">
        <v>1</v>
      </c>
    </row>
    <row r="770" spans="1:36"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H770">
        <v>7</v>
      </c>
      <c r="AI770">
        <v>7</v>
      </c>
      <c r="AJ770">
        <v>5</v>
      </c>
    </row>
    <row r="771" spans="1:36"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H771">
        <v>3</v>
      </c>
      <c r="AI771">
        <v>1</v>
      </c>
      <c r="AJ771">
        <v>3</v>
      </c>
    </row>
    <row r="772" spans="1:36"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H772">
        <v>2</v>
      </c>
      <c r="AI772">
        <v>2</v>
      </c>
      <c r="AJ772">
        <v>2</v>
      </c>
    </row>
    <row r="773" spans="1:36"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H773">
        <v>4</v>
      </c>
      <c r="AI773">
        <v>7</v>
      </c>
      <c r="AJ773">
        <v>0</v>
      </c>
    </row>
    <row r="774" spans="1:36"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H774">
        <v>4</v>
      </c>
      <c r="AI774">
        <v>0</v>
      </c>
      <c r="AJ774">
        <v>3</v>
      </c>
    </row>
    <row r="775" spans="1:36"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H775">
        <v>8</v>
      </c>
      <c r="AI775">
        <v>7</v>
      </c>
      <c r="AJ775">
        <v>8</v>
      </c>
    </row>
    <row r="776" spans="1:36"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H776">
        <v>7</v>
      </c>
      <c r="AI776">
        <v>6</v>
      </c>
      <c r="AJ776">
        <v>2</v>
      </c>
    </row>
    <row r="777" spans="1:36"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H777">
        <v>0</v>
      </c>
      <c r="AI777">
        <v>0</v>
      </c>
      <c r="AJ777">
        <v>0</v>
      </c>
    </row>
    <row r="778" spans="1:36"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H778">
        <v>2</v>
      </c>
      <c r="AI778">
        <v>0</v>
      </c>
      <c r="AJ778">
        <v>2</v>
      </c>
    </row>
    <row r="779" spans="1:36"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H779">
        <v>0</v>
      </c>
      <c r="AI779">
        <v>1</v>
      </c>
      <c r="AJ779">
        <v>0</v>
      </c>
    </row>
    <row r="780" spans="1:36"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H780">
        <v>13</v>
      </c>
      <c r="AI780">
        <v>1</v>
      </c>
      <c r="AJ780">
        <v>7</v>
      </c>
    </row>
    <row r="781" spans="1:36"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H781">
        <v>0</v>
      </c>
      <c r="AI781">
        <v>2</v>
      </c>
      <c r="AJ781">
        <v>7</v>
      </c>
    </row>
    <row r="782" spans="1:36"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H782">
        <v>7</v>
      </c>
      <c r="AI782">
        <v>1</v>
      </c>
      <c r="AJ782">
        <v>9</v>
      </c>
    </row>
    <row r="783" spans="1:36"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H783">
        <v>3</v>
      </c>
      <c r="AI783">
        <v>1</v>
      </c>
      <c r="AJ783">
        <v>3</v>
      </c>
    </row>
    <row r="784" spans="1:36"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H784">
        <v>2</v>
      </c>
      <c r="AI784">
        <v>0</v>
      </c>
      <c r="AJ784">
        <v>2</v>
      </c>
    </row>
    <row r="785" spans="1:36"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H785">
        <v>6</v>
      </c>
      <c r="AI785">
        <v>0</v>
      </c>
      <c r="AJ785">
        <v>8</v>
      </c>
    </row>
    <row r="786" spans="1:36"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H786">
        <v>9</v>
      </c>
      <c r="AI786">
        <v>1</v>
      </c>
      <c r="AJ786">
        <v>9</v>
      </c>
    </row>
    <row r="787" spans="1:36"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H787">
        <v>10</v>
      </c>
      <c r="AI787">
        <v>11</v>
      </c>
      <c r="AJ787">
        <v>1</v>
      </c>
    </row>
    <row r="788" spans="1:36"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H788">
        <v>2</v>
      </c>
      <c r="AI788">
        <v>1</v>
      </c>
      <c r="AJ788">
        <v>2</v>
      </c>
    </row>
    <row r="789" spans="1:36"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H789">
        <v>2</v>
      </c>
      <c r="AI789">
        <v>1</v>
      </c>
      <c r="AJ789">
        <v>2</v>
      </c>
    </row>
    <row r="790" spans="1:36"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H790">
        <v>7</v>
      </c>
      <c r="AI790">
        <v>1</v>
      </c>
      <c r="AJ790">
        <v>7</v>
      </c>
    </row>
    <row r="791" spans="1:36"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H791">
        <v>6</v>
      </c>
      <c r="AI791">
        <v>3</v>
      </c>
      <c r="AJ791">
        <v>6</v>
      </c>
    </row>
    <row r="792" spans="1:36"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H792">
        <v>2</v>
      </c>
      <c r="AI792">
        <v>1</v>
      </c>
      <c r="AJ792">
        <v>2</v>
      </c>
    </row>
    <row r="793" spans="1:36"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H793">
        <v>7</v>
      </c>
      <c r="AI793">
        <v>4</v>
      </c>
      <c r="AJ793">
        <v>7</v>
      </c>
    </row>
    <row r="794" spans="1:36"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H794">
        <v>7</v>
      </c>
      <c r="AI794">
        <v>3</v>
      </c>
      <c r="AJ794">
        <v>8</v>
      </c>
    </row>
    <row r="795" spans="1:36"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H795">
        <v>2</v>
      </c>
      <c r="AI795">
        <v>2</v>
      </c>
      <c r="AJ795">
        <v>2</v>
      </c>
    </row>
    <row r="796" spans="1:36"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H796">
        <v>2</v>
      </c>
      <c r="AI796">
        <v>0</v>
      </c>
      <c r="AJ796">
        <v>4</v>
      </c>
    </row>
    <row r="797" spans="1:36"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H797">
        <v>0</v>
      </c>
      <c r="AI797">
        <v>0</v>
      </c>
      <c r="AJ797">
        <v>0</v>
      </c>
    </row>
    <row r="798" spans="1:36"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H798">
        <v>7</v>
      </c>
      <c r="AI798">
        <v>5</v>
      </c>
      <c r="AJ798">
        <v>6</v>
      </c>
    </row>
    <row r="799" spans="1:36"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H799">
        <v>1</v>
      </c>
      <c r="AI799">
        <v>0</v>
      </c>
      <c r="AJ799">
        <v>0</v>
      </c>
    </row>
    <row r="800" spans="1:36"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H800">
        <v>2</v>
      </c>
      <c r="AI800">
        <v>2</v>
      </c>
      <c r="AJ800">
        <v>2</v>
      </c>
    </row>
    <row r="801" spans="1:36"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H801">
        <v>6</v>
      </c>
      <c r="AI801">
        <v>13</v>
      </c>
      <c r="AJ801">
        <v>7</v>
      </c>
    </row>
    <row r="802" spans="1:36"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H802">
        <v>0</v>
      </c>
      <c r="AI802">
        <v>0</v>
      </c>
      <c r="AJ802">
        <v>0</v>
      </c>
    </row>
    <row r="803" spans="1:36"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H803">
        <v>0</v>
      </c>
      <c r="AI803">
        <v>0</v>
      </c>
      <c r="AJ803">
        <v>0</v>
      </c>
    </row>
    <row r="804" spans="1:36"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H804">
        <v>2</v>
      </c>
      <c r="AI804">
        <v>0</v>
      </c>
      <c r="AJ804">
        <v>2</v>
      </c>
    </row>
    <row r="805" spans="1:36"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H805">
        <v>0</v>
      </c>
      <c r="AI805">
        <v>0</v>
      </c>
      <c r="AJ805">
        <v>0</v>
      </c>
    </row>
    <row r="806" spans="1:36"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H806">
        <v>4</v>
      </c>
      <c r="AI806">
        <v>2</v>
      </c>
      <c r="AJ806">
        <v>1</v>
      </c>
    </row>
    <row r="807" spans="1:36"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H807">
        <v>10</v>
      </c>
      <c r="AI807">
        <v>4</v>
      </c>
      <c r="AJ807">
        <v>12</v>
      </c>
    </row>
    <row r="808" spans="1:36"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H808">
        <v>6</v>
      </c>
      <c r="AI808">
        <v>4</v>
      </c>
      <c r="AJ808">
        <v>0</v>
      </c>
    </row>
    <row r="809" spans="1:36"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H809">
        <v>7</v>
      </c>
      <c r="AI809">
        <v>2</v>
      </c>
      <c r="AJ809">
        <v>7</v>
      </c>
    </row>
    <row r="810" spans="1:36"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H810">
        <v>5</v>
      </c>
      <c r="AI810">
        <v>1</v>
      </c>
      <c r="AJ810">
        <v>7</v>
      </c>
    </row>
    <row r="811" spans="1:36"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H811">
        <v>7</v>
      </c>
      <c r="AI811">
        <v>1</v>
      </c>
      <c r="AJ811">
        <v>7</v>
      </c>
    </row>
    <row r="812" spans="1:36"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H812">
        <v>9</v>
      </c>
      <c r="AI812">
        <v>4</v>
      </c>
      <c r="AJ812">
        <v>9</v>
      </c>
    </row>
    <row r="813" spans="1:36"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H813">
        <v>0</v>
      </c>
      <c r="AI813">
        <v>0</v>
      </c>
      <c r="AJ813">
        <v>0</v>
      </c>
    </row>
    <row r="814" spans="1:36"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H814">
        <v>7</v>
      </c>
      <c r="AI814">
        <v>0</v>
      </c>
      <c r="AJ814">
        <v>1</v>
      </c>
    </row>
    <row r="815" spans="1:36"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H815">
        <v>7</v>
      </c>
      <c r="AI815">
        <v>11</v>
      </c>
      <c r="AJ815">
        <v>5</v>
      </c>
    </row>
    <row r="816" spans="1:36"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H816">
        <v>7</v>
      </c>
      <c r="AI816">
        <v>4</v>
      </c>
      <c r="AJ816">
        <v>9</v>
      </c>
    </row>
    <row r="817" spans="1:36"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H817">
        <v>2</v>
      </c>
      <c r="AI817">
        <v>2</v>
      </c>
      <c r="AJ817">
        <v>2</v>
      </c>
    </row>
    <row r="818" spans="1:36"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H818">
        <v>4</v>
      </c>
      <c r="AI818">
        <v>0</v>
      </c>
      <c r="AJ818">
        <v>3</v>
      </c>
    </row>
    <row r="819" spans="1:36"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H819">
        <v>9</v>
      </c>
      <c r="AI819">
        <v>0</v>
      </c>
      <c r="AJ819">
        <v>9</v>
      </c>
    </row>
    <row r="820" spans="1:36"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H820">
        <v>2</v>
      </c>
      <c r="AI820">
        <v>2</v>
      </c>
      <c r="AJ820">
        <v>2</v>
      </c>
    </row>
    <row r="821" spans="1:36"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H821">
        <v>3</v>
      </c>
      <c r="AI821">
        <v>0</v>
      </c>
      <c r="AJ821">
        <v>4</v>
      </c>
    </row>
    <row r="822" spans="1:36"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H822">
        <v>2</v>
      </c>
      <c r="AI822">
        <v>0</v>
      </c>
      <c r="AJ822">
        <v>2</v>
      </c>
    </row>
    <row r="823" spans="1:36"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H823">
        <v>8</v>
      </c>
      <c r="AI823">
        <v>2</v>
      </c>
      <c r="AJ823">
        <v>3</v>
      </c>
    </row>
    <row r="824" spans="1:36"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H824">
        <v>2</v>
      </c>
      <c r="AI824">
        <v>0</v>
      </c>
      <c r="AJ824">
        <v>2</v>
      </c>
    </row>
    <row r="825" spans="1:36"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H825">
        <v>5</v>
      </c>
      <c r="AI825">
        <v>1</v>
      </c>
      <c r="AJ825">
        <v>1</v>
      </c>
    </row>
    <row r="826" spans="1:36"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H826">
        <v>0</v>
      </c>
      <c r="AI826">
        <v>0</v>
      </c>
      <c r="AJ826">
        <v>0</v>
      </c>
    </row>
    <row r="827" spans="1:36"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H827">
        <v>7</v>
      </c>
      <c r="AI827">
        <v>1</v>
      </c>
      <c r="AJ827">
        <v>2</v>
      </c>
    </row>
    <row r="828" spans="1:36"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H828">
        <v>6</v>
      </c>
      <c r="AI828">
        <v>5</v>
      </c>
      <c r="AJ828">
        <v>0</v>
      </c>
    </row>
    <row r="829" spans="1:36"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H829">
        <v>1</v>
      </c>
      <c r="AI829">
        <v>0</v>
      </c>
      <c r="AJ829">
        <v>2</v>
      </c>
    </row>
    <row r="830" spans="1:36"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H830">
        <v>0</v>
      </c>
      <c r="AI830">
        <v>0</v>
      </c>
      <c r="AJ830">
        <v>0</v>
      </c>
    </row>
    <row r="831" spans="1:36"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H831">
        <v>2</v>
      </c>
      <c r="AI831">
        <v>0</v>
      </c>
      <c r="AJ831">
        <v>3</v>
      </c>
    </row>
    <row r="832" spans="1:36"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H832">
        <v>0</v>
      </c>
      <c r="AI832">
        <v>0</v>
      </c>
      <c r="AJ832">
        <v>0</v>
      </c>
    </row>
    <row r="833" spans="1:36"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H833">
        <v>2</v>
      </c>
      <c r="AI833">
        <v>2</v>
      </c>
      <c r="AJ833">
        <v>2</v>
      </c>
    </row>
    <row r="834" spans="1:36"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H834">
        <v>2</v>
      </c>
      <c r="AI834">
        <v>1</v>
      </c>
      <c r="AJ834">
        <v>3</v>
      </c>
    </row>
    <row r="835" spans="1:36"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H835">
        <v>2</v>
      </c>
      <c r="AI835">
        <v>2</v>
      </c>
      <c r="AJ835">
        <v>2</v>
      </c>
    </row>
    <row r="836" spans="1:36"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H836">
        <v>5</v>
      </c>
      <c r="AI836">
        <v>1</v>
      </c>
      <c r="AJ836">
        <v>3</v>
      </c>
    </row>
    <row r="837" spans="1:36"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H837">
        <v>4</v>
      </c>
      <c r="AI837">
        <v>1</v>
      </c>
      <c r="AJ837">
        <v>4</v>
      </c>
    </row>
    <row r="838" spans="1:36"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H838">
        <v>8</v>
      </c>
      <c r="AI838">
        <v>3</v>
      </c>
      <c r="AJ838">
        <v>10</v>
      </c>
    </row>
    <row r="839" spans="1:36"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H839">
        <v>7</v>
      </c>
      <c r="AI839">
        <v>2</v>
      </c>
      <c r="AJ839">
        <v>13</v>
      </c>
    </row>
    <row r="840" spans="1:36"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H840">
        <v>9</v>
      </c>
      <c r="AI840">
        <v>13</v>
      </c>
      <c r="AJ840">
        <v>14</v>
      </c>
    </row>
    <row r="841" spans="1:36"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H841">
        <v>4</v>
      </c>
      <c r="AI841">
        <v>1</v>
      </c>
      <c r="AJ841">
        <v>5</v>
      </c>
    </row>
    <row r="842" spans="1:36"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H842">
        <v>0</v>
      </c>
      <c r="AI842">
        <v>1</v>
      </c>
      <c r="AJ842">
        <v>7</v>
      </c>
    </row>
    <row r="843" spans="1:36"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H843">
        <v>3</v>
      </c>
      <c r="AI843">
        <v>1</v>
      </c>
      <c r="AJ843">
        <v>2</v>
      </c>
    </row>
    <row r="844" spans="1:36"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H844">
        <v>1</v>
      </c>
      <c r="AI844">
        <v>0</v>
      </c>
      <c r="AJ844">
        <v>0</v>
      </c>
    </row>
    <row r="845" spans="1:36"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H845">
        <v>7</v>
      </c>
      <c r="AI845">
        <v>0</v>
      </c>
      <c r="AJ845">
        <v>7</v>
      </c>
    </row>
    <row r="846" spans="1:36"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H846">
        <v>3</v>
      </c>
      <c r="AI846">
        <v>1</v>
      </c>
      <c r="AJ846">
        <v>4</v>
      </c>
    </row>
    <row r="847" spans="1:36"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H847">
        <v>1</v>
      </c>
      <c r="AI847">
        <v>0</v>
      </c>
      <c r="AJ847">
        <v>0</v>
      </c>
    </row>
    <row r="848" spans="1:36"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H848">
        <v>7</v>
      </c>
      <c r="AI848">
        <v>6</v>
      </c>
      <c r="AJ848">
        <v>4</v>
      </c>
    </row>
    <row r="849" spans="1:36"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H849">
        <v>9</v>
      </c>
      <c r="AI849">
        <v>4</v>
      </c>
      <c r="AJ849">
        <v>9</v>
      </c>
    </row>
    <row r="850" spans="1:36"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H850">
        <v>2</v>
      </c>
      <c r="AI850">
        <v>2</v>
      </c>
      <c r="AJ850">
        <v>2</v>
      </c>
    </row>
    <row r="851" spans="1:36"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H851">
        <v>3</v>
      </c>
      <c r="AI851">
        <v>1</v>
      </c>
      <c r="AJ851">
        <v>3</v>
      </c>
    </row>
    <row r="852" spans="1:36"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H852">
        <v>0</v>
      </c>
      <c r="AI852">
        <v>0</v>
      </c>
      <c r="AJ852">
        <v>0</v>
      </c>
    </row>
    <row r="853" spans="1:36"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H853">
        <v>2</v>
      </c>
      <c r="AI853">
        <v>4</v>
      </c>
      <c r="AJ853">
        <v>2</v>
      </c>
    </row>
    <row r="854" spans="1:36"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H854">
        <v>8</v>
      </c>
      <c r="AI854">
        <v>0</v>
      </c>
      <c r="AJ854">
        <v>8</v>
      </c>
    </row>
    <row r="855" spans="1:36"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H855">
        <v>1</v>
      </c>
      <c r="AI855">
        <v>0</v>
      </c>
      <c r="AJ855">
        <v>0</v>
      </c>
    </row>
    <row r="856" spans="1:36"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H856">
        <v>2</v>
      </c>
      <c r="AI856">
        <v>0</v>
      </c>
      <c r="AJ856">
        <v>2</v>
      </c>
    </row>
    <row r="857" spans="1:36"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H857">
        <v>8</v>
      </c>
      <c r="AI857">
        <v>3</v>
      </c>
      <c r="AJ857">
        <v>11</v>
      </c>
    </row>
    <row r="858" spans="1:36"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H858">
        <v>2</v>
      </c>
      <c r="AI858">
        <v>1</v>
      </c>
      <c r="AJ858">
        <v>2</v>
      </c>
    </row>
    <row r="859" spans="1:36"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H859">
        <v>4</v>
      </c>
      <c r="AI859">
        <v>0</v>
      </c>
      <c r="AJ859">
        <v>2</v>
      </c>
    </row>
    <row r="860" spans="1:36"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H860">
        <v>7</v>
      </c>
      <c r="AI860">
        <v>4</v>
      </c>
      <c r="AJ860">
        <v>7</v>
      </c>
    </row>
    <row r="861" spans="1:36"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H861">
        <v>4</v>
      </c>
      <c r="AI861">
        <v>1</v>
      </c>
      <c r="AJ861">
        <v>3</v>
      </c>
    </row>
    <row r="862" spans="1:36"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H862">
        <v>0</v>
      </c>
      <c r="AI862">
        <v>0</v>
      </c>
      <c r="AJ862">
        <v>0</v>
      </c>
    </row>
    <row r="863" spans="1:36"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H863">
        <v>15</v>
      </c>
      <c r="AI863">
        <v>15</v>
      </c>
      <c r="AJ863">
        <v>9</v>
      </c>
    </row>
    <row r="864" spans="1:36"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H864">
        <v>0</v>
      </c>
      <c r="AI864">
        <v>0</v>
      </c>
      <c r="AJ864">
        <v>0</v>
      </c>
    </row>
    <row r="865" spans="1:36"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H865">
        <v>4</v>
      </c>
      <c r="AI865">
        <v>1</v>
      </c>
      <c r="AJ865">
        <v>4</v>
      </c>
    </row>
    <row r="866" spans="1:36"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H866">
        <v>0</v>
      </c>
      <c r="AI866">
        <v>0</v>
      </c>
      <c r="AJ866">
        <v>0</v>
      </c>
    </row>
    <row r="867" spans="1:36"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H867">
        <v>3</v>
      </c>
      <c r="AI867">
        <v>0</v>
      </c>
      <c r="AJ867">
        <v>3</v>
      </c>
    </row>
    <row r="868" spans="1:36"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H868">
        <v>0</v>
      </c>
      <c r="AI868">
        <v>0</v>
      </c>
      <c r="AJ868">
        <v>0</v>
      </c>
    </row>
    <row r="869" spans="1:36"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H869">
        <v>2</v>
      </c>
      <c r="AI869">
        <v>2</v>
      </c>
      <c r="AJ869">
        <v>2</v>
      </c>
    </row>
    <row r="870" spans="1:36"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H870">
        <v>5</v>
      </c>
      <c r="AI870">
        <v>3</v>
      </c>
      <c r="AJ870">
        <v>3</v>
      </c>
    </row>
    <row r="871" spans="1:36"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H871">
        <v>2</v>
      </c>
      <c r="AI871">
        <v>0</v>
      </c>
      <c r="AJ871">
        <v>3</v>
      </c>
    </row>
    <row r="872" spans="1:36"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H872">
        <v>7</v>
      </c>
      <c r="AI872">
        <v>1</v>
      </c>
      <c r="AJ872">
        <v>7</v>
      </c>
    </row>
    <row r="873" spans="1:36"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H873">
        <v>0</v>
      </c>
      <c r="AI873">
        <v>0</v>
      </c>
      <c r="AJ873">
        <v>0</v>
      </c>
    </row>
    <row r="874" spans="1:36"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H874">
        <v>7</v>
      </c>
      <c r="AI874">
        <v>0</v>
      </c>
      <c r="AJ874">
        <v>1</v>
      </c>
    </row>
    <row r="875" spans="1:36"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H875">
        <v>7</v>
      </c>
      <c r="AI875">
        <v>1</v>
      </c>
      <c r="AJ875">
        <v>7</v>
      </c>
    </row>
    <row r="876" spans="1:36"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H876">
        <v>7</v>
      </c>
      <c r="AI876">
        <v>8</v>
      </c>
      <c r="AJ876">
        <v>9</v>
      </c>
    </row>
    <row r="877" spans="1:36"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H877">
        <v>11</v>
      </c>
      <c r="AI877">
        <v>13</v>
      </c>
      <c r="AJ877">
        <v>17</v>
      </c>
    </row>
    <row r="878" spans="1:36"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H878">
        <v>1</v>
      </c>
      <c r="AI878">
        <v>2</v>
      </c>
      <c r="AJ878">
        <v>2</v>
      </c>
    </row>
    <row r="879" spans="1:36"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H879">
        <v>3</v>
      </c>
      <c r="AI879">
        <v>1</v>
      </c>
      <c r="AJ879">
        <v>4</v>
      </c>
    </row>
    <row r="880" spans="1:36"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H880">
        <v>3</v>
      </c>
      <c r="AI880">
        <v>0</v>
      </c>
      <c r="AJ880">
        <v>3</v>
      </c>
    </row>
    <row r="881" spans="1:36"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H881">
        <v>7</v>
      </c>
      <c r="AI881">
        <v>1</v>
      </c>
      <c r="AJ881">
        <v>9</v>
      </c>
    </row>
    <row r="882" spans="1:36"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H882">
        <v>2</v>
      </c>
      <c r="AI882">
        <v>2</v>
      </c>
      <c r="AJ882">
        <v>2</v>
      </c>
    </row>
    <row r="883" spans="1:36"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H883">
        <v>7</v>
      </c>
      <c r="AI883">
        <v>0</v>
      </c>
      <c r="AJ883">
        <v>7</v>
      </c>
    </row>
    <row r="884" spans="1:36"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H884">
        <v>7</v>
      </c>
      <c r="AI884">
        <v>7</v>
      </c>
      <c r="AJ884">
        <v>7</v>
      </c>
    </row>
    <row r="885" spans="1:36"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H885">
        <v>10</v>
      </c>
      <c r="AI885">
        <v>4</v>
      </c>
      <c r="AJ885">
        <v>10</v>
      </c>
    </row>
    <row r="886" spans="1:36"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H886">
        <v>1</v>
      </c>
      <c r="AI886">
        <v>1</v>
      </c>
      <c r="AJ886">
        <v>3</v>
      </c>
    </row>
    <row r="887" spans="1:36"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H887">
        <v>3</v>
      </c>
      <c r="AI887">
        <v>1</v>
      </c>
      <c r="AJ887">
        <v>1</v>
      </c>
    </row>
    <row r="888" spans="1:36"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H888">
        <v>9</v>
      </c>
      <c r="AI888">
        <v>5</v>
      </c>
      <c r="AJ888">
        <v>7</v>
      </c>
    </row>
    <row r="889" spans="1:36"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H889">
        <v>0</v>
      </c>
      <c r="AI889">
        <v>0</v>
      </c>
      <c r="AJ889">
        <v>0</v>
      </c>
    </row>
    <row r="890" spans="1:36"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H890">
        <v>2</v>
      </c>
      <c r="AI890">
        <v>4</v>
      </c>
      <c r="AJ890">
        <v>12</v>
      </c>
    </row>
    <row r="891" spans="1:36"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H891">
        <v>7</v>
      </c>
      <c r="AI891">
        <v>6</v>
      </c>
      <c r="AJ891">
        <v>8</v>
      </c>
    </row>
    <row r="892" spans="1:36"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H892">
        <v>4</v>
      </c>
      <c r="AI892">
        <v>1</v>
      </c>
      <c r="AJ892">
        <v>4</v>
      </c>
    </row>
    <row r="893" spans="1:36"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H893">
        <v>5</v>
      </c>
      <c r="AI893">
        <v>7</v>
      </c>
      <c r="AJ893">
        <v>7</v>
      </c>
    </row>
    <row r="894" spans="1:36"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H894">
        <v>1</v>
      </c>
      <c r="AI894">
        <v>0</v>
      </c>
      <c r="AJ894">
        <v>0</v>
      </c>
    </row>
    <row r="895" spans="1:36"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H895">
        <v>2</v>
      </c>
      <c r="AI895">
        <v>1</v>
      </c>
      <c r="AJ895">
        <v>2</v>
      </c>
    </row>
    <row r="896" spans="1:36"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H896">
        <v>9</v>
      </c>
      <c r="AI896">
        <v>0</v>
      </c>
      <c r="AJ896">
        <v>9</v>
      </c>
    </row>
    <row r="897" spans="1:36"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H897">
        <v>5</v>
      </c>
      <c r="AI897">
        <v>0</v>
      </c>
      <c r="AJ897">
        <v>1</v>
      </c>
    </row>
    <row r="898" spans="1:36"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H898">
        <v>9</v>
      </c>
      <c r="AI898">
        <v>1</v>
      </c>
      <c r="AJ898">
        <v>8</v>
      </c>
    </row>
    <row r="899" spans="1:36"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H899">
        <v>1</v>
      </c>
      <c r="AI899">
        <v>0</v>
      </c>
      <c r="AJ899">
        <v>5</v>
      </c>
    </row>
    <row r="900" spans="1:36"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H900">
        <v>7</v>
      </c>
      <c r="AI900">
        <v>0</v>
      </c>
      <c r="AJ900">
        <v>7</v>
      </c>
    </row>
    <row r="901" spans="1:36"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H901">
        <v>0</v>
      </c>
      <c r="AI901">
        <v>0</v>
      </c>
      <c r="AJ901">
        <v>0</v>
      </c>
    </row>
    <row r="902" spans="1:36"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H902">
        <v>10</v>
      </c>
      <c r="AI902">
        <v>0</v>
      </c>
      <c r="AJ902">
        <v>7</v>
      </c>
    </row>
    <row r="903" spans="1:36"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H903">
        <v>0</v>
      </c>
      <c r="AI903">
        <v>0</v>
      </c>
      <c r="AJ903">
        <v>0</v>
      </c>
    </row>
    <row r="904" spans="1:36"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H904">
        <v>3</v>
      </c>
      <c r="AI904">
        <v>0</v>
      </c>
      <c r="AJ904">
        <v>3</v>
      </c>
    </row>
    <row r="905" spans="1:36"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H905">
        <v>0</v>
      </c>
      <c r="AI905">
        <v>1</v>
      </c>
      <c r="AJ905">
        <v>0</v>
      </c>
    </row>
    <row r="906" spans="1:36"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H906">
        <v>0</v>
      </c>
      <c r="AI906">
        <v>0</v>
      </c>
      <c r="AJ906">
        <v>0</v>
      </c>
    </row>
    <row r="907" spans="1:36"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H907">
        <v>7</v>
      </c>
      <c r="AI907">
        <v>1</v>
      </c>
      <c r="AJ907">
        <v>7</v>
      </c>
    </row>
    <row r="908" spans="1:36"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H908">
        <v>0</v>
      </c>
      <c r="AI908">
        <v>0</v>
      </c>
      <c r="AJ908">
        <v>0</v>
      </c>
    </row>
    <row r="909" spans="1:36"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H909">
        <v>9</v>
      </c>
      <c r="AI909">
        <v>3</v>
      </c>
      <c r="AJ909">
        <v>10</v>
      </c>
    </row>
    <row r="910" spans="1:36"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H910">
        <v>8</v>
      </c>
      <c r="AI910">
        <v>0</v>
      </c>
      <c r="AJ910">
        <v>8</v>
      </c>
    </row>
    <row r="911" spans="1:36"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H911">
        <v>0</v>
      </c>
      <c r="AI911">
        <v>0</v>
      </c>
      <c r="AJ911">
        <v>1</v>
      </c>
    </row>
    <row r="912" spans="1:36"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H912">
        <v>0</v>
      </c>
      <c r="AI912">
        <v>0</v>
      </c>
      <c r="AJ912">
        <v>1</v>
      </c>
    </row>
    <row r="913" spans="1:36"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H913">
        <v>0</v>
      </c>
      <c r="AI913">
        <v>1</v>
      </c>
      <c r="AJ913">
        <v>0</v>
      </c>
    </row>
    <row r="914" spans="1:36"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H914">
        <v>5</v>
      </c>
      <c r="AI914">
        <v>2</v>
      </c>
      <c r="AJ914">
        <v>2</v>
      </c>
    </row>
    <row r="915" spans="1:36"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H915">
        <v>10</v>
      </c>
      <c r="AI915">
        <v>1</v>
      </c>
      <c r="AJ915">
        <v>11</v>
      </c>
    </row>
    <row r="916" spans="1:36"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H916">
        <v>9</v>
      </c>
      <c r="AI916">
        <v>15</v>
      </c>
      <c r="AJ916">
        <v>0</v>
      </c>
    </row>
    <row r="917" spans="1:36"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H917">
        <v>2</v>
      </c>
      <c r="AI917">
        <v>2</v>
      </c>
      <c r="AJ917">
        <v>2</v>
      </c>
    </row>
    <row r="918" spans="1:36"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H918">
        <v>4</v>
      </c>
      <c r="AI918">
        <v>0</v>
      </c>
      <c r="AJ918">
        <v>8</v>
      </c>
    </row>
    <row r="919" spans="1:36"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H919">
        <v>2</v>
      </c>
      <c r="AI919">
        <v>0</v>
      </c>
      <c r="AJ919">
        <v>2</v>
      </c>
    </row>
    <row r="920" spans="1:36"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H920">
        <v>10</v>
      </c>
      <c r="AI920">
        <v>11</v>
      </c>
      <c r="AJ920">
        <v>10</v>
      </c>
    </row>
    <row r="921" spans="1:36"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H921">
        <v>7</v>
      </c>
      <c r="AI921">
        <v>5</v>
      </c>
      <c r="AJ921">
        <v>4</v>
      </c>
    </row>
    <row r="922" spans="1:36"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H922">
        <v>8</v>
      </c>
      <c r="AI922">
        <v>5</v>
      </c>
      <c r="AJ922">
        <v>10</v>
      </c>
    </row>
    <row r="923" spans="1:36"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H923">
        <v>2</v>
      </c>
      <c r="AI923">
        <v>0</v>
      </c>
      <c r="AJ923">
        <v>2</v>
      </c>
    </row>
    <row r="924" spans="1:36"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H924">
        <v>9</v>
      </c>
      <c r="AI924">
        <v>14</v>
      </c>
      <c r="AJ924">
        <v>13</v>
      </c>
    </row>
    <row r="925" spans="1:36"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H925">
        <v>9</v>
      </c>
      <c r="AI925">
        <v>1</v>
      </c>
      <c r="AJ925">
        <v>8</v>
      </c>
    </row>
    <row r="926" spans="1:36"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H926">
        <v>2</v>
      </c>
      <c r="AI926">
        <v>2</v>
      </c>
      <c r="AJ926">
        <v>2</v>
      </c>
    </row>
    <row r="927" spans="1:36"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H927">
        <v>0</v>
      </c>
      <c r="AI927">
        <v>0</v>
      </c>
      <c r="AJ927">
        <v>0</v>
      </c>
    </row>
    <row r="928" spans="1:36"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H928">
        <v>7</v>
      </c>
      <c r="AI928">
        <v>15</v>
      </c>
      <c r="AJ928">
        <v>17</v>
      </c>
    </row>
    <row r="929" spans="1:36"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H929">
        <v>14</v>
      </c>
      <c r="AI929">
        <v>5</v>
      </c>
      <c r="AJ929">
        <v>12</v>
      </c>
    </row>
    <row r="930" spans="1:36"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H930">
        <v>7</v>
      </c>
      <c r="AI930">
        <v>0</v>
      </c>
      <c r="AJ930">
        <v>5</v>
      </c>
    </row>
    <row r="931" spans="1:36"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H931">
        <v>2</v>
      </c>
      <c r="AI931">
        <v>2</v>
      </c>
      <c r="AJ931">
        <v>2</v>
      </c>
    </row>
    <row r="932" spans="1:36"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H932">
        <v>0</v>
      </c>
      <c r="AI932">
        <v>7</v>
      </c>
      <c r="AJ932">
        <v>7</v>
      </c>
    </row>
    <row r="933" spans="1:36"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H933">
        <v>4</v>
      </c>
      <c r="AI933">
        <v>1</v>
      </c>
      <c r="AJ933">
        <v>7</v>
      </c>
    </row>
    <row r="934" spans="1:36"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H934">
        <v>7</v>
      </c>
      <c r="AI934">
        <v>7</v>
      </c>
      <c r="AJ934">
        <v>7</v>
      </c>
    </row>
    <row r="935" spans="1:36"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H935">
        <v>2</v>
      </c>
      <c r="AI935">
        <v>1</v>
      </c>
      <c r="AJ935">
        <v>2</v>
      </c>
    </row>
    <row r="936" spans="1:36"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H936">
        <v>2</v>
      </c>
      <c r="AI936">
        <v>2</v>
      </c>
      <c r="AJ936">
        <v>1</v>
      </c>
    </row>
    <row r="937" spans="1:36"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H937">
        <v>7</v>
      </c>
      <c r="AI937">
        <v>0</v>
      </c>
      <c r="AJ937">
        <v>8</v>
      </c>
    </row>
    <row r="938" spans="1:36"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H938">
        <v>0</v>
      </c>
      <c r="AI938">
        <v>0</v>
      </c>
      <c r="AJ938">
        <v>0</v>
      </c>
    </row>
    <row r="939" spans="1:36"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H939">
        <v>9</v>
      </c>
      <c r="AI939">
        <v>15</v>
      </c>
      <c r="AJ939">
        <v>2</v>
      </c>
    </row>
    <row r="940" spans="1:36"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H940">
        <v>2</v>
      </c>
      <c r="AI940">
        <v>2</v>
      </c>
      <c r="AJ940">
        <v>2</v>
      </c>
    </row>
    <row r="941" spans="1:36"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H941">
        <v>4</v>
      </c>
      <c r="AI941">
        <v>1</v>
      </c>
      <c r="AJ941">
        <v>1</v>
      </c>
    </row>
    <row r="942" spans="1:36"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H942">
        <v>2</v>
      </c>
      <c r="AI942">
        <v>0</v>
      </c>
      <c r="AJ942">
        <v>3</v>
      </c>
    </row>
    <row r="943" spans="1:36"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H943">
        <v>2</v>
      </c>
      <c r="AI943">
        <v>6</v>
      </c>
      <c r="AJ943">
        <v>7</v>
      </c>
    </row>
    <row r="944" spans="1:36"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H944">
        <v>7</v>
      </c>
      <c r="AI944">
        <v>1</v>
      </c>
      <c r="AJ944">
        <v>7</v>
      </c>
    </row>
    <row r="945" spans="1:36"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H945">
        <v>6</v>
      </c>
      <c r="AI945">
        <v>5</v>
      </c>
      <c r="AJ945">
        <v>7</v>
      </c>
    </row>
    <row r="946" spans="1:36"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H946">
        <v>8</v>
      </c>
      <c r="AI946">
        <v>7</v>
      </c>
      <c r="AJ946">
        <v>5</v>
      </c>
    </row>
    <row r="947" spans="1:36"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H947">
        <v>2</v>
      </c>
      <c r="AI947">
        <v>1</v>
      </c>
      <c r="AJ947">
        <v>2</v>
      </c>
    </row>
    <row r="948" spans="1:36"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H948">
        <v>4</v>
      </c>
      <c r="AI948">
        <v>1</v>
      </c>
      <c r="AJ948">
        <v>0</v>
      </c>
    </row>
    <row r="949" spans="1:36"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H949">
        <v>7</v>
      </c>
      <c r="AI949">
        <v>7</v>
      </c>
      <c r="AJ949">
        <v>7</v>
      </c>
    </row>
    <row r="950" spans="1:36"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H950">
        <v>1</v>
      </c>
      <c r="AI950">
        <v>0</v>
      </c>
      <c r="AJ950">
        <v>8</v>
      </c>
    </row>
    <row r="951" spans="1:36"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H951">
        <v>7</v>
      </c>
      <c r="AI951">
        <v>1</v>
      </c>
      <c r="AJ951">
        <v>7</v>
      </c>
    </row>
    <row r="952" spans="1:36"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H952">
        <v>8</v>
      </c>
      <c r="AI952">
        <v>9</v>
      </c>
      <c r="AJ952">
        <v>6</v>
      </c>
    </row>
    <row r="953" spans="1:36"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H953">
        <v>2</v>
      </c>
      <c r="AI953">
        <v>11</v>
      </c>
      <c r="AJ953">
        <v>9</v>
      </c>
    </row>
    <row r="954" spans="1:36"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H954">
        <v>2</v>
      </c>
      <c r="AI954">
        <v>2</v>
      </c>
      <c r="AJ954">
        <v>2</v>
      </c>
    </row>
    <row r="955" spans="1:36"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H955">
        <v>2</v>
      </c>
      <c r="AI955">
        <v>1</v>
      </c>
      <c r="AJ955">
        <v>2</v>
      </c>
    </row>
    <row r="956" spans="1:36"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H956">
        <v>8</v>
      </c>
      <c r="AI956">
        <v>2</v>
      </c>
      <c r="AJ956">
        <v>10</v>
      </c>
    </row>
    <row r="957" spans="1:36"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H957">
        <v>9</v>
      </c>
      <c r="AI957">
        <v>9</v>
      </c>
      <c r="AJ957">
        <v>11</v>
      </c>
    </row>
    <row r="958" spans="1:36"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H958">
        <v>3</v>
      </c>
      <c r="AI958">
        <v>7</v>
      </c>
      <c r="AJ958">
        <v>7</v>
      </c>
    </row>
    <row r="959" spans="1:36"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H959">
        <v>2</v>
      </c>
      <c r="AI959">
        <v>0</v>
      </c>
      <c r="AJ959">
        <v>0</v>
      </c>
    </row>
    <row r="960" spans="1:36"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H960">
        <v>7</v>
      </c>
      <c r="AI960">
        <v>1</v>
      </c>
      <c r="AJ960">
        <v>6</v>
      </c>
    </row>
    <row r="961" spans="1:36"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H961">
        <v>8</v>
      </c>
      <c r="AI961">
        <v>8</v>
      </c>
      <c r="AJ961">
        <v>8</v>
      </c>
    </row>
    <row r="962" spans="1:36"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H962">
        <v>3</v>
      </c>
      <c r="AI962">
        <v>1</v>
      </c>
      <c r="AJ962">
        <v>7</v>
      </c>
    </row>
    <row r="963" spans="1:36"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H963">
        <v>6</v>
      </c>
      <c r="AI963">
        <v>1</v>
      </c>
      <c r="AJ963">
        <v>1</v>
      </c>
    </row>
    <row r="964" spans="1:36"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H964">
        <v>9</v>
      </c>
      <c r="AI964">
        <v>0</v>
      </c>
      <c r="AJ964">
        <v>10</v>
      </c>
    </row>
    <row r="965" spans="1:36"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H965">
        <v>7</v>
      </c>
      <c r="AI965">
        <v>1</v>
      </c>
      <c r="AJ965">
        <v>7</v>
      </c>
    </row>
    <row r="966" spans="1:36"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H966">
        <v>8</v>
      </c>
      <c r="AI966">
        <v>9</v>
      </c>
      <c r="AJ966">
        <v>6</v>
      </c>
    </row>
    <row r="967" spans="1:36"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H967">
        <v>2</v>
      </c>
      <c r="AI967">
        <v>1</v>
      </c>
      <c r="AJ967">
        <v>2</v>
      </c>
    </row>
    <row r="968" spans="1:36"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H968">
        <v>9</v>
      </c>
      <c r="AI968">
        <v>5</v>
      </c>
      <c r="AJ968">
        <v>9</v>
      </c>
    </row>
    <row r="969" spans="1:36"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H969">
        <v>2</v>
      </c>
      <c r="AI969">
        <v>0</v>
      </c>
      <c r="AJ969">
        <v>3</v>
      </c>
    </row>
    <row r="970" spans="1:36"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H970">
        <v>7</v>
      </c>
      <c r="AI970">
        <v>6</v>
      </c>
      <c r="AJ970">
        <v>13</v>
      </c>
    </row>
    <row r="971" spans="1:36"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H971">
        <v>9</v>
      </c>
      <c r="AI971">
        <v>0</v>
      </c>
      <c r="AJ971">
        <v>8</v>
      </c>
    </row>
    <row r="972" spans="1:36"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H972">
        <v>0</v>
      </c>
      <c r="AI972">
        <v>0</v>
      </c>
      <c r="AJ972">
        <v>0</v>
      </c>
    </row>
    <row r="973" spans="1:36"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H973">
        <v>2</v>
      </c>
      <c r="AI973">
        <v>0</v>
      </c>
      <c r="AJ973">
        <v>3</v>
      </c>
    </row>
    <row r="974" spans="1:36"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H974">
        <v>0</v>
      </c>
      <c r="AI974">
        <v>0</v>
      </c>
      <c r="AJ974">
        <v>0</v>
      </c>
    </row>
    <row r="975" spans="1:36"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H975">
        <v>7</v>
      </c>
      <c r="AI975">
        <v>0</v>
      </c>
      <c r="AJ975">
        <v>0</v>
      </c>
    </row>
    <row r="976" spans="1:36"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H976">
        <v>2</v>
      </c>
      <c r="AI976">
        <v>0</v>
      </c>
      <c r="AJ976">
        <v>0</v>
      </c>
    </row>
    <row r="977" spans="1:36"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H977">
        <v>7</v>
      </c>
      <c r="AI977">
        <v>3</v>
      </c>
      <c r="AJ977">
        <v>8</v>
      </c>
    </row>
    <row r="978" spans="1:36"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H978">
        <v>16</v>
      </c>
      <c r="AI978">
        <v>15</v>
      </c>
      <c r="AJ978">
        <v>9</v>
      </c>
    </row>
    <row r="979" spans="1:36"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H979">
        <v>4</v>
      </c>
      <c r="AI979">
        <v>0</v>
      </c>
      <c r="AJ979">
        <v>0</v>
      </c>
    </row>
    <row r="980" spans="1:36"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H980">
        <v>11</v>
      </c>
      <c r="AI980">
        <v>11</v>
      </c>
      <c r="AJ980">
        <v>8</v>
      </c>
    </row>
    <row r="981" spans="1:36"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H981">
        <v>7</v>
      </c>
      <c r="AI981">
        <v>7</v>
      </c>
      <c r="AJ981">
        <v>7</v>
      </c>
    </row>
    <row r="982" spans="1:36"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H982">
        <v>0</v>
      </c>
      <c r="AI982">
        <v>0</v>
      </c>
      <c r="AJ982">
        <v>0</v>
      </c>
    </row>
    <row r="983" spans="1:36"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H983">
        <v>2</v>
      </c>
      <c r="AI983">
        <v>3</v>
      </c>
      <c r="AJ983">
        <v>2</v>
      </c>
    </row>
    <row r="984" spans="1:36"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H984">
        <v>2</v>
      </c>
      <c r="AI984">
        <v>0</v>
      </c>
      <c r="AJ984">
        <v>3</v>
      </c>
    </row>
    <row r="985" spans="1:36"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H985">
        <v>11</v>
      </c>
      <c r="AI985">
        <v>4</v>
      </c>
      <c r="AJ985">
        <v>11</v>
      </c>
    </row>
    <row r="986" spans="1:36"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H986">
        <v>3</v>
      </c>
      <c r="AI986">
        <v>0</v>
      </c>
      <c r="AJ986">
        <v>4</v>
      </c>
    </row>
    <row r="987" spans="1:36"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H987">
        <v>2</v>
      </c>
      <c r="AI987">
        <v>6</v>
      </c>
      <c r="AJ987">
        <v>7</v>
      </c>
    </row>
    <row r="988" spans="1:36"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H988">
        <v>4</v>
      </c>
      <c r="AI988">
        <v>1</v>
      </c>
      <c r="AJ988">
        <v>4</v>
      </c>
    </row>
    <row r="989" spans="1:36"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H989">
        <v>2</v>
      </c>
      <c r="AI989">
        <v>3</v>
      </c>
      <c r="AJ989">
        <v>2</v>
      </c>
    </row>
    <row r="990" spans="1:36"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H990">
        <v>2</v>
      </c>
      <c r="AI990">
        <v>3</v>
      </c>
      <c r="AJ990">
        <v>3</v>
      </c>
    </row>
    <row r="991" spans="1:36"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H991">
        <v>4</v>
      </c>
      <c r="AI991">
        <v>1</v>
      </c>
      <c r="AJ991">
        <v>3</v>
      </c>
    </row>
    <row r="992" spans="1:36"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H992">
        <v>4</v>
      </c>
      <c r="AI992">
        <v>1</v>
      </c>
      <c r="AJ992">
        <v>2</v>
      </c>
    </row>
    <row r="993" spans="1:36"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H993">
        <v>2</v>
      </c>
      <c r="AI993">
        <v>1</v>
      </c>
      <c r="AJ993">
        <v>2</v>
      </c>
    </row>
    <row r="994" spans="1:36"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H994">
        <v>4</v>
      </c>
      <c r="AI994">
        <v>0</v>
      </c>
      <c r="AJ994">
        <v>5</v>
      </c>
    </row>
    <row r="995" spans="1:36"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H995">
        <v>2</v>
      </c>
      <c r="AI995">
        <v>1</v>
      </c>
      <c r="AJ995">
        <v>2</v>
      </c>
    </row>
    <row r="996" spans="1:36"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H996">
        <v>3</v>
      </c>
      <c r="AI996">
        <v>0</v>
      </c>
      <c r="AJ996">
        <v>2</v>
      </c>
    </row>
    <row r="997" spans="1:36"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H997">
        <v>7</v>
      </c>
      <c r="AI997">
        <v>1</v>
      </c>
      <c r="AJ997">
        <v>8</v>
      </c>
    </row>
    <row r="998" spans="1:36"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H998">
        <v>2</v>
      </c>
      <c r="AI998">
        <v>4</v>
      </c>
      <c r="AJ998">
        <v>4</v>
      </c>
    </row>
    <row r="999" spans="1:36"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H999">
        <v>2</v>
      </c>
      <c r="AI999">
        <v>7</v>
      </c>
      <c r="AJ999">
        <v>7</v>
      </c>
    </row>
    <row r="1000" spans="1:36"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H1000">
        <v>3</v>
      </c>
      <c r="AI1000">
        <v>1</v>
      </c>
      <c r="AJ1000">
        <v>1</v>
      </c>
    </row>
    <row r="1001" spans="1:36"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H1001">
        <v>7</v>
      </c>
      <c r="AI1001">
        <v>0</v>
      </c>
      <c r="AJ1001">
        <v>9</v>
      </c>
    </row>
    <row r="1002" spans="1:36"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H1002">
        <v>4</v>
      </c>
      <c r="AI1002">
        <v>0</v>
      </c>
      <c r="AJ1002">
        <v>4</v>
      </c>
    </row>
    <row r="1003" spans="1:36"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H1003">
        <v>2</v>
      </c>
      <c r="AI1003">
        <v>0</v>
      </c>
      <c r="AJ1003">
        <v>2</v>
      </c>
    </row>
    <row r="1004" spans="1:36"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H1004">
        <v>2</v>
      </c>
      <c r="AI1004">
        <v>2</v>
      </c>
      <c r="AJ1004">
        <v>2</v>
      </c>
    </row>
    <row r="1005" spans="1:36"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H1005">
        <v>2</v>
      </c>
      <c r="AI1005">
        <v>0</v>
      </c>
      <c r="AJ1005">
        <v>2</v>
      </c>
    </row>
    <row r="1006" spans="1:36"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H1006">
        <v>7</v>
      </c>
      <c r="AI1006">
        <v>0</v>
      </c>
      <c r="AJ1006">
        <v>7</v>
      </c>
    </row>
    <row r="1007" spans="1:36"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H1007">
        <v>9</v>
      </c>
      <c r="AI1007">
        <v>0</v>
      </c>
      <c r="AJ1007">
        <v>9</v>
      </c>
    </row>
    <row r="1008" spans="1:36"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H1008">
        <v>3</v>
      </c>
      <c r="AI1008">
        <v>1</v>
      </c>
      <c r="AJ1008">
        <v>3</v>
      </c>
    </row>
    <row r="1009" spans="1:36"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H1009">
        <v>7</v>
      </c>
      <c r="AI1009">
        <v>7</v>
      </c>
      <c r="AJ1009">
        <v>7</v>
      </c>
    </row>
    <row r="1010" spans="1:36"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H1010">
        <v>7</v>
      </c>
      <c r="AI1010">
        <v>12</v>
      </c>
      <c r="AJ1010">
        <v>7</v>
      </c>
    </row>
    <row r="1011" spans="1:36"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H1011">
        <v>8</v>
      </c>
      <c r="AI1011">
        <v>1</v>
      </c>
      <c r="AJ1011">
        <v>5</v>
      </c>
    </row>
    <row r="1012" spans="1:36"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H1012">
        <v>7</v>
      </c>
      <c r="AI1012">
        <v>0</v>
      </c>
      <c r="AJ1012">
        <v>0</v>
      </c>
    </row>
    <row r="1013" spans="1:36"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H1013">
        <v>4</v>
      </c>
      <c r="AI1013">
        <v>0</v>
      </c>
      <c r="AJ1013">
        <v>1</v>
      </c>
    </row>
    <row r="1014" spans="1:36"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H1014">
        <v>0</v>
      </c>
      <c r="AI1014">
        <v>0</v>
      </c>
      <c r="AJ1014">
        <v>0</v>
      </c>
    </row>
    <row r="1015" spans="1:36"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H1015">
        <v>2</v>
      </c>
      <c r="AI1015">
        <v>0</v>
      </c>
      <c r="AJ1015">
        <v>2</v>
      </c>
    </row>
    <row r="1016" spans="1:36"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H1016">
        <v>2</v>
      </c>
      <c r="AI1016">
        <v>1</v>
      </c>
      <c r="AJ1016">
        <v>0</v>
      </c>
    </row>
    <row r="1017" spans="1:36"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H1017">
        <v>3</v>
      </c>
      <c r="AI1017">
        <v>1</v>
      </c>
      <c r="AJ1017">
        <v>3</v>
      </c>
    </row>
    <row r="1018" spans="1:36"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H1018">
        <v>0</v>
      </c>
      <c r="AI1018">
        <v>0</v>
      </c>
      <c r="AJ1018">
        <v>0</v>
      </c>
    </row>
    <row r="1019" spans="1:36"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H1019">
        <v>0</v>
      </c>
      <c r="AI1019">
        <v>1</v>
      </c>
      <c r="AJ1019">
        <v>4</v>
      </c>
    </row>
    <row r="1020" spans="1:36"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H1020">
        <v>4</v>
      </c>
      <c r="AI1020">
        <v>1</v>
      </c>
      <c r="AJ1020">
        <v>8</v>
      </c>
    </row>
    <row r="1021" spans="1:36"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H1021">
        <v>2</v>
      </c>
      <c r="AI1021">
        <v>0</v>
      </c>
      <c r="AJ1021">
        <v>2</v>
      </c>
    </row>
    <row r="1022" spans="1:36"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H1022">
        <v>5</v>
      </c>
      <c r="AI1022">
        <v>1</v>
      </c>
      <c r="AJ1022">
        <v>2</v>
      </c>
    </row>
    <row r="1023" spans="1:36"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H1023">
        <v>2</v>
      </c>
      <c r="AI1023">
        <v>2</v>
      </c>
      <c r="AJ1023">
        <v>2</v>
      </c>
    </row>
    <row r="1024" spans="1:36"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H1024">
        <v>5</v>
      </c>
      <c r="AI1024">
        <v>1</v>
      </c>
      <c r="AJ1024">
        <v>3</v>
      </c>
    </row>
    <row r="1025" spans="1:36"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H1025">
        <v>2</v>
      </c>
      <c r="AI1025">
        <v>1</v>
      </c>
      <c r="AJ1025">
        <v>0</v>
      </c>
    </row>
    <row r="1026" spans="1:36"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H1026">
        <v>17</v>
      </c>
      <c r="AI1026">
        <v>5</v>
      </c>
      <c r="AJ1026">
        <v>6</v>
      </c>
    </row>
    <row r="1027" spans="1:36"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H1027">
        <v>4</v>
      </c>
      <c r="AI1027">
        <v>0</v>
      </c>
      <c r="AJ1027">
        <v>3</v>
      </c>
    </row>
    <row r="1028" spans="1:36"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H1028">
        <v>3</v>
      </c>
      <c r="AI1028">
        <v>0</v>
      </c>
      <c r="AJ1028">
        <v>3</v>
      </c>
    </row>
    <row r="1029" spans="1:36"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H1029">
        <v>4</v>
      </c>
      <c r="AI1029">
        <v>0</v>
      </c>
      <c r="AJ1029">
        <v>2</v>
      </c>
    </row>
    <row r="1030" spans="1:36"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H1030">
        <v>2</v>
      </c>
      <c r="AI1030">
        <v>0</v>
      </c>
      <c r="AJ1030">
        <v>3</v>
      </c>
    </row>
    <row r="1031" spans="1:36"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H1031">
        <v>7</v>
      </c>
      <c r="AI1031">
        <v>0</v>
      </c>
      <c r="AJ1031">
        <v>7</v>
      </c>
    </row>
    <row r="1032" spans="1:36"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H1032">
        <v>7</v>
      </c>
      <c r="AI1032">
        <v>9</v>
      </c>
      <c r="AJ1032">
        <v>9</v>
      </c>
    </row>
    <row r="1033" spans="1:36"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H1033">
        <v>7</v>
      </c>
      <c r="AI1033">
        <v>4</v>
      </c>
      <c r="AJ1033">
        <v>3</v>
      </c>
    </row>
    <row r="1034" spans="1:36"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H1034">
        <v>0</v>
      </c>
      <c r="AI1034">
        <v>0</v>
      </c>
      <c r="AJ1034">
        <v>0</v>
      </c>
    </row>
    <row r="1035" spans="1:36"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H1035">
        <v>8</v>
      </c>
      <c r="AI1035">
        <v>4</v>
      </c>
      <c r="AJ1035">
        <v>7</v>
      </c>
    </row>
    <row r="1036" spans="1:36"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H1036">
        <v>7</v>
      </c>
      <c r="AI1036">
        <v>0</v>
      </c>
      <c r="AJ1036">
        <v>7</v>
      </c>
    </row>
    <row r="1037" spans="1:36"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H1037">
        <v>2</v>
      </c>
      <c r="AI1037">
        <v>0</v>
      </c>
      <c r="AJ1037">
        <v>2</v>
      </c>
    </row>
    <row r="1038" spans="1:36"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H1038">
        <v>2</v>
      </c>
      <c r="AI1038">
        <v>2</v>
      </c>
      <c r="AJ1038">
        <v>2</v>
      </c>
    </row>
    <row r="1039" spans="1:36"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H1039">
        <v>1</v>
      </c>
      <c r="AI1039">
        <v>1</v>
      </c>
      <c r="AJ1039">
        <v>2</v>
      </c>
    </row>
    <row r="1040" spans="1:36"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H1040">
        <v>2</v>
      </c>
      <c r="AI1040">
        <v>2</v>
      </c>
      <c r="AJ1040">
        <v>2</v>
      </c>
    </row>
    <row r="1041" spans="1:36"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H1041">
        <v>2</v>
      </c>
      <c r="AI1041">
        <v>2</v>
      </c>
      <c r="AJ1041">
        <v>2</v>
      </c>
    </row>
    <row r="1042" spans="1:36"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H1042">
        <v>8</v>
      </c>
      <c r="AI1042">
        <v>4</v>
      </c>
      <c r="AJ1042">
        <v>8</v>
      </c>
    </row>
    <row r="1043" spans="1:36"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H1043">
        <v>4</v>
      </c>
      <c r="AI1043">
        <v>1</v>
      </c>
      <c r="AJ1043">
        <v>3</v>
      </c>
    </row>
    <row r="1044" spans="1:36"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H1044">
        <v>2</v>
      </c>
      <c r="AI1044">
        <v>0</v>
      </c>
      <c r="AJ1044">
        <v>3</v>
      </c>
    </row>
    <row r="1045" spans="1:36"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H1045">
        <v>8</v>
      </c>
      <c r="AI1045">
        <v>8</v>
      </c>
      <c r="AJ1045">
        <v>8</v>
      </c>
    </row>
    <row r="1046" spans="1:36"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H1046">
        <v>2</v>
      </c>
      <c r="AI1046">
        <v>1</v>
      </c>
      <c r="AJ1046">
        <v>2</v>
      </c>
    </row>
    <row r="1047" spans="1:36"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H1047">
        <v>1</v>
      </c>
      <c r="AI1047">
        <v>1</v>
      </c>
      <c r="AJ1047">
        <v>2</v>
      </c>
    </row>
    <row r="1048" spans="1:36"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H1048">
        <v>2</v>
      </c>
      <c r="AI1048">
        <v>1</v>
      </c>
      <c r="AJ1048">
        <v>3</v>
      </c>
    </row>
    <row r="1049" spans="1:36"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H1049">
        <v>3</v>
      </c>
      <c r="AI1049">
        <v>0</v>
      </c>
      <c r="AJ1049">
        <v>3</v>
      </c>
    </row>
    <row r="1050" spans="1:36"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H1050">
        <v>9</v>
      </c>
      <c r="AI1050">
        <v>3</v>
      </c>
      <c r="AJ1050">
        <v>12</v>
      </c>
    </row>
    <row r="1051" spans="1:36"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H1051">
        <v>1</v>
      </c>
      <c r="AI1051">
        <v>2</v>
      </c>
      <c r="AJ1051">
        <v>2</v>
      </c>
    </row>
    <row r="1052" spans="1:36"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H1052">
        <v>9</v>
      </c>
      <c r="AI1052">
        <v>5</v>
      </c>
      <c r="AJ1052">
        <v>8</v>
      </c>
    </row>
    <row r="1053" spans="1:36"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H1053">
        <v>0</v>
      </c>
      <c r="AI1053">
        <v>0</v>
      </c>
      <c r="AJ1053">
        <v>0</v>
      </c>
    </row>
    <row r="1054" spans="1:36"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H1054">
        <v>0</v>
      </c>
      <c r="AI1054">
        <v>0</v>
      </c>
      <c r="AJ1054">
        <v>0</v>
      </c>
    </row>
    <row r="1055" spans="1:36"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H1055">
        <v>9</v>
      </c>
      <c r="AI1055">
        <v>2</v>
      </c>
      <c r="AJ1055">
        <v>8</v>
      </c>
    </row>
    <row r="1056" spans="1:36"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H1056">
        <v>7</v>
      </c>
      <c r="AI1056">
        <v>0</v>
      </c>
      <c r="AJ1056">
        <v>7</v>
      </c>
    </row>
    <row r="1057" spans="1:36"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H1057">
        <v>8</v>
      </c>
      <c r="AI1057">
        <v>6</v>
      </c>
      <c r="AJ1057">
        <v>9</v>
      </c>
    </row>
    <row r="1058" spans="1:36"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H1058">
        <v>2</v>
      </c>
      <c r="AI1058">
        <v>1</v>
      </c>
      <c r="AJ1058">
        <v>2</v>
      </c>
    </row>
    <row r="1059" spans="1:36"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H1059">
        <v>3</v>
      </c>
      <c r="AI1059">
        <v>0</v>
      </c>
      <c r="AJ1059">
        <v>0</v>
      </c>
    </row>
    <row r="1060" spans="1:36"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H1060">
        <v>9</v>
      </c>
      <c r="AI1060">
        <v>10</v>
      </c>
      <c r="AJ1060">
        <v>10</v>
      </c>
    </row>
    <row r="1061" spans="1:36"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H1061">
        <v>0</v>
      </c>
      <c r="AI1061">
        <v>0</v>
      </c>
      <c r="AJ1061">
        <v>0</v>
      </c>
    </row>
    <row r="1062" spans="1:36"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H1062">
        <v>0</v>
      </c>
      <c r="AI1062">
        <v>0</v>
      </c>
      <c r="AJ1062">
        <v>0</v>
      </c>
    </row>
    <row r="1063" spans="1:36"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H1063">
        <v>0</v>
      </c>
      <c r="AI1063">
        <v>0</v>
      </c>
      <c r="AJ1063">
        <v>0</v>
      </c>
    </row>
    <row r="1064" spans="1:36"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H1064">
        <v>2</v>
      </c>
      <c r="AI1064">
        <v>2</v>
      </c>
      <c r="AJ1064">
        <v>2</v>
      </c>
    </row>
    <row r="1065" spans="1:36"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H1065">
        <v>7</v>
      </c>
      <c r="AI1065">
        <v>0</v>
      </c>
      <c r="AJ1065">
        <v>4</v>
      </c>
    </row>
    <row r="1066" spans="1:36"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H1066">
        <v>3</v>
      </c>
      <c r="AI1066">
        <v>1</v>
      </c>
      <c r="AJ1066">
        <v>3</v>
      </c>
    </row>
    <row r="1067" spans="1:36"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H1067">
        <v>2</v>
      </c>
      <c r="AI1067">
        <v>1</v>
      </c>
      <c r="AJ1067">
        <v>2</v>
      </c>
    </row>
    <row r="1068" spans="1:36"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H1068">
        <v>4</v>
      </c>
      <c r="AI1068">
        <v>0</v>
      </c>
      <c r="AJ1068">
        <v>2</v>
      </c>
    </row>
    <row r="1069" spans="1:36"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H1069">
        <v>4</v>
      </c>
      <c r="AI1069">
        <v>1</v>
      </c>
      <c r="AJ1069">
        <v>2</v>
      </c>
    </row>
    <row r="1070" spans="1:36"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H1070">
        <v>0</v>
      </c>
      <c r="AI1070">
        <v>0</v>
      </c>
      <c r="AJ1070">
        <v>0</v>
      </c>
    </row>
    <row r="1071" spans="1:36"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H1071">
        <v>0</v>
      </c>
      <c r="AI1071">
        <v>0</v>
      </c>
      <c r="AJ1071">
        <v>0</v>
      </c>
    </row>
    <row r="1072" spans="1:36"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H1072">
        <v>2</v>
      </c>
      <c r="AI1072">
        <v>1</v>
      </c>
      <c r="AJ1072">
        <v>3</v>
      </c>
    </row>
    <row r="1073" spans="1:36"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H1073">
        <v>2</v>
      </c>
      <c r="AI1073">
        <v>1</v>
      </c>
      <c r="AJ1073">
        <v>2</v>
      </c>
    </row>
    <row r="1074" spans="1:36"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H1074">
        <v>2</v>
      </c>
      <c r="AI1074">
        <v>0</v>
      </c>
      <c r="AJ1074">
        <v>2</v>
      </c>
    </row>
    <row r="1075" spans="1:36"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H1075">
        <v>6</v>
      </c>
      <c r="AI1075">
        <v>1</v>
      </c>
      <c r="AJ1075">
        <v>7</v>
      </c>
    </row>
    <row r="1076" spans="1:36"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H1076">
        <v>0</v>
      </c>
      <c r="AI1076">
        <v>0</v>
      </c>
      <c r="AJ1076">
        <v>0</v>
      </c>
    </row>
    <row r="1077" spans="1:36"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H1077">
        <v>2</v>
      </c>
      <c r="AI1077">
        <v>0</v>
      </c>
      <c r="AJ1077">
        <v>0</v>
      </c>
    </row>
    <row r="1078" spans="1:36"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H1078">
        <v>9</v>
      </c>
      <c r="AI1078">
        <v>1</v>
      </c>
      <c r="AJ1078">
        <v>12</v>
      </c>
    </row>
    <row r="1079" spans="1:36"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H1079">
        <v>7</v>
      </c>
      <c r="AI1079">
        <v>0</v>
      </c>
      <c r="AJ1079">
        <v>7</v>
      </c>
    </row>
    <row r="1080" spans="1:36"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H1080">
        <v>6</v>
      </c>
      <c r="AI1080">
        <v>14</v>
      </c>
      <c r="AJ1080">
        <v>17</v>
      </c>
    </row>
    <row r="1081" spans="1:36"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H1081">
        <v>0</v>
      </c>
      <c r="AI1081">
        <v>2</v>
      </c>
      <c r="AJ1081">
        <v>2</v>
      </c>
    </row>
    <row r="1082" spans="1:36"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H1082">
        <v>12</v>
      </c>
      <c r="AI1082">
        <v>5</v>
      </c>
      <c r="AJ1082">
        <v>1</v>
      </c>
    </row>
    <row r="1083" spans="1:36"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H1083">
        <v>8</v>
      </c>
      <c r="AI1083">
        <v>3</v>
      </c>
      <c r="AJ1083">
        <v>3</v>
      </c>
    </row>
    <row r="1084" spans="1:36"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H1084">
        <v>3</v>
      </c>
      <c r="AI1084">
        <v>1</v>
      </c>
      <c r="AJ1084">
        <v>2</v>
      </c>
    </row>
    <row r="1085" spans="1:36"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H1085">
        <v>4</v>
      </c>
      <c r="AI1085">
        <v>1</v>
      </c>
      <c r="AJ1085">
        <v>0</v>
      </c>
    </row>
    <row r="1086" spans="1:36"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H1086">
        <v>9</v>
      </c>
      <c r="AI1086">
        <v>8</v>
      </c>
      <c r="AJ1086">
        <v>6</v>
      </c>
    </row>
    <row r="1087" spans="1:36"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H1087">
        <v>2</v>
      </c>
      <c r="AI1087">
        <v>7</v>
      </c>
      <c r="AJ1087">
        <v>7</v>
      </c>
    </row>
    <row r="1088" spans="1:36"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H1088">
        <v>6</v>
      </c>
      <c r="AI1088">
        <v>13</v>
      </c>
      <c r="AJ1088">
        <v>9</v>
      </c>
    </row>
    <row r="1089" spans="1:36"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H1089">
        <v>10</v>
      </c>
      <c r="AI1089">
        <v>5</v>
      </c>
      <c r="AJ1089">
        <v>7</v>
      </c>
    </row>
    <row r="1090" spans="1:36"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H1090">
        <v>0</v>
      </c>
      <c r="AI1090">
        <v>0</v>
      </c>
      <c r="AJ1090">
        <v>0</v>
      </c>
    </row>
    <row r="1091" spans="1:36"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H1091">
        <v>8</v>
      </c>
      <c r="AI1091">
        <v>3</v>
      </c>
      <c r="AJ1091">
        <v>7</v>
      </c>
    </row>
    <row r="1092" spans="1:36"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H1092">
        <v>7</v>
      </c>
      <c r="AI1092">
        <v>0</v>
      </c>
      <c r="AJ1092">
        <v>7</v>
      </c>
    </row>
    <row r="1093" spans="1:36"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H1093">
        <v>3</v>
      </c>
      <c r="AI1093">
        <v>0</v>
      </c>
      <c r="AJ1093">
        <v>2</v>
      </c>
    </row>
    <row r="1094" spans="1:36"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H1094">
        <v>4</v>
      </c>
      <c r="AI1094">
        <v>0</v>
      </c>
      <c r="AJ1094">
        <v>3</v>
      </c>
    </row>
    <row r="1095" spans="1:36"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H1095">
        <v>8</v>
      </c>
      <c r="AI1095">
        <v>13</v>
      </c>
      <c r="AJ1095">
        <v>9</v>
      </c>
    </row>
    <row r="1096" spans="1:36"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H1096">
        <v>4</v>
      </c>
      <c r="AI1096">
        <v>7</v>
      </c>
      <c r="AJ1096">
        <v>1</v>
      </c>
    </row>
    <row r="1097" spans="1:36"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H1097">
        <v>14</v>
      </c>
      <c r="AI1097">
        <v>5</v>
      </c>
      <c r="AJ1097">
        <v>7</v>
      </c>
    </row>
    <row r="1098" spans="1:36"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H1098">
        <v>7</v>
      </c>
      <c r="AI1098">
        <v>7</v>
      </c>
      <c r="AJ1098">
        <v>7</v>
      </c>
    </row>
    <row r="1099" spans="1:36"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H1099">
        <v>1</v>
      </c>
      <c r="AI1099">
        <v>0</v>
      </c>
      <c r="AJ1099">
        <v>0</v>
      </c>
    </row>
    <row r="1100" spans="1:36"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H1100">
        <v>2</v>
      </c>
      <c r="AI1100">
        <v>2</v>
      </c>
      <c r="AJ1100">
        <v>2</v>
      </c>
    </row>
    <row r="1101" spans="1:36"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H1101">
        <v>8</v>
      </c>
      <c r="AI1101">
        <v>7</v>
      </c>
      <c r="AJ1101">
        <v>7</v>
      </c>
    </row>
    <row r="1102" spans="1:36"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H1102">
        <v>3</v>
      </c>
      <c r="AI1102">
        <v>4</v>
      </c>
      <c r="AJ1102">
        <v>2</v>
      </c>
    </row>
    <row r="1103" spans="1:36"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H1103">
        <v>1</v>
      </c>
      <c r="AI1103">
        <v>2</v>
      </c>
      <c r="AJ1103">
        <v>5</v>
      </c>
    </row>
    <row r="1104" spans="1:36"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H1104">
        <v>2</v>
      </c>
      <c r="AI1104">
        <v>1</v>
      </c>
      <c r="AJ1104">
        <v>2</v>
      </c>
    </row>
    <row r="1105" spans="1:36"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H1105">
        <v>7</v>
      </c>
      <c r="AI1105">
        <v>7</v>
      </c>
      <c r="AJ1105">
        <v>7</v>
      </c>
    </row>
    <row r="1106" spans="1:36"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H1106">
        <v>0</v>
      </c>
      <c r="AI1106">
        <v>0</v>
      </c>
      <c r="AJ1106">
        <v>0</v>
      </c>
    </row>
    <row r="1107" spans="1:36"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H1107">
        <v>2</v>
      </c>
      <c r="AI1107">
        <v>2</v>
      </c>
      <c r="AJ1107">
        <v>2</v>
      </c>
    </row>
    <row r="1108" spans="1:36"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H1108">
        <v>8</v>
      </c>
      <c r="AI1108">
        <v>6</v>
      </c>
      <c r="AJ1108">
        <v>7</v>
      </c>
    </row>
    <row r="1109" spans="1:36"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H1109">
        <v>3</v>
      </c>
      <c r="AI1109">
        <v>1</v>
      </c>
      <c r="AJ1109">
        <v>2</v>
      </c>
    </row>
    <row r="1110" spans="1:36"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H1110">
        <v>0</v>
      </c>
      <c r="AI1110">
        <v>1</v>
      </c>
      <c r="AJ1110">
        <v>2</v>
      </c>
    </row>
    <row r="1111" spans="1:36"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H1111">
        <v>2</v>
      </c>
      <c r="AI1111">
        <v>1</v>
      </c>
      <c r="AJ1111">
        <v>3</v>
      </c>
    </row>
    <row r="1112" spans="1:36"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H1112">
        <v>0</v>
      </c>
      <c r="AI1112">
        <v>0</v>
      </c>
      <c r="AJ1112">
        <v>0</v>
      </c>
    </row>
    <row r="1113" spans="1:36"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H1113">
        <v>7</v>
      </c>
      <c r="AI1113">
        <v>1</v>
      </c>
      <c r="AJ1113">
        <v>9</v>
      </c>
    </row>
    <row r="1114" spans="1:36"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H1114">
        <v>2</v>
      </c>
      <c r="AI1114">
        <v>1</v>
      </c>
      <c r="AJ1114">
        <v>4</v>
      </c>
    </row>
    <row r="1115" spans="1:36"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H1115">
        <v>5</v>
      </c>
      <c r="AI1115">
        <v>1</v>
      </c>
      <c r="AJ1115">
        <v>2</v>
      </c>
    </row>
    <row r="1116" spans="1:36"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H1116">
        <v>2</v>
      </c>
      <c r="AI1116">
        <v>7</v>
      </c>
      <c r="AJ1116">
        <v>6</v>
      </c>
    </row>
    <row r="1117" spans="1:36"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H1117">
        <v>0</v>
      </c>
      <c r="AI1117">
        <v>0</v>
      </c>
      <c r="AJ1117">
        <v>0</v>
      </c>
    </row>
    <row r="1118" spans="1:36"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H1118">
        <v>6</v>
      </c>
      <c r="AI1118">
        <v>2</v>
      </c>
      <c r="AJ1118">
        <v>13</v>
      </c>
    </row>
    <row r="1119" spans="1:36"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H1119">
        <v>2</v>
      </c>
      <c r="AI1119">
        <v>2</v>
      </c>
      <c r="AJ1119">
        <v>1</v>
      </c>
    </row>
    <row r="1120" spans="1:36"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H1120">
        <v>0</v>
      </c>
      <c r="AI1120">
        <v>0</v>
      </c>
      <c r="AJ1120">
        <v>0</v>
      </c>
    </row>
    <row r="1121" spans="1:36"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H1121">
        <v>8</v>
      </c>
      <c r="AI1121">
        <v>7</v>
      </c>
      <c r="AJ1121">
        <v>7</v>
      </c>
    </row>
    <row r="1122" spans="1:36"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H1122">
        <v>2</v>
      </c>
      <c r="AI1122">
        <v>1</v>
      </c>
      <c r="AJ1122">
        <v>2</v>
      </c>
    </row>
    <row r="1123" spans="1:36"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H1123">
        <v>0</v>
      </c>
      <c r="AI1123">
        <v>0</v>
      </c>
      <c r="AJ1123">
        <v>0</v>
      </c>
    </row>
    <row r="1124" spans="1:36"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H1124">
        <v>9</v>
      </c>
      <c r="AI1124">
        <v>1</v>
      </c>
      <c r="AJ1124">
        <v>5</v>
      </c>
    </row>
    <row r="1125" spans="1:36"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H1125">
        <v>2</v>
      </c>
      <c r="AI1125">
        <v>0</v>
      </c>
      <c r="AJ1125">
        <v>4</v>
      </c>
    </row>
    <row r="1126" spans="1:36"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H1126">
        <v>6</v>
      </c>
      <c r="AI1126">
        <v>7</v>
      </c>
      <c r="AJ1126">
        <v>6</v>
      </c>
    </row>
    <row r="1127" spans="1:36"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H1127">
        <v>4</v>
      </c>
      <c r="AI1127">
        <v>1</v>
      </c>
      <c r="AJ1127">
        <v>3</v>
      </c>
    </row>
    <row r="1128" spans="1:36"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H1128">
        <v>0</v>
      </c>
      <c r="AI1128">
        <v>0</v>
      </c>
      <c r="AJ1128">
        <v>0</v>
      </c>
    </row>
    <row r="1129" spans="1:36"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H1129">
        <v>2</v>
      </c>
      <c r="AI1129">
        <v>2</v>
      </c>
      <c r="AJ1129">
        <v>2</v>
      </c>
    </row>
    <row r="1130" spans="1:36"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H1130">
        <v>2</v>
      </c>
      <c r="AI1130">
        <v>0</v>
      </c>
      <c r="AJ1130">
        <v>2</v>
      </c>
    </row>
    <row r="1131" spans="1:36"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H1131">
        <v>0</v>
      </c>
      <c r="AI1131">
        <v>0</v>
      </c>
      <c r="AJ1131">
        <v>1</v>
      </c>
    </row>
    <row r="1132" spans="1:36"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H1132">
        <v>9</v>
      </c>
      <c r="AI1132">
        <v>6</v>
      </c>
      <c r="AJ1132">
        <v>8</v>
      </c>
    </row>
    <row r="1133" spans="1:36"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H1133">
        <v>2</v>
      </c>
      <c r="AI1133">
        <v>7</v>
      </c>
      <c r="AJ1133">
        <v>7</v>
      </c>
    </row>
    <row r="1134" spans="1:36"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H1134">
        <v>4</v>
      </c>
      <c r="AI1134">
        <v>1</v>
      </c>
      <c r="AJ1134">
        <v>2</v>
      </c>
    </row>
    <row r="1135" spans="1:36"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H1135">
        <v>4</v>
      </c>
      <c r="AI1135">
        <v>0</v>
      </c>
      <c r="AJ1135">
        <v>2</v>
      </c>
    </row>
    <row r="1136" spans="1:36"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H1136">
        <v>0</v>
      </c>
      <c r="AI1136">
        <v>0</v>
      </c>
      <c r="AJ1136">
        <v>1</v>
      </c>
    </row>
    <row r="1137" spans="1:36"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H1137">
        <v>0</v>
      </c>
      <c r="AI1137">
        <v>0</v>
      </c>
      <c r="AJ1137">
        <v>12</v>
      </c>
    </row>
    <row r="1138" spans="1:36"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H1138">
        <v>1</v>
      </c>
      <c r="AI1138">
        <v>0</v>
      </c>
      <c r="AJ1138">
        <v>0</v>
      </c>
    </row>
    <row r="1139" spans="1:36"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H1139">
        <v>2</v>
      </c>
      <c r="AI1139">
        <v>1</v>
      </c>
      <c r="AJ1139">
        <v>3</v>
      </c>
    </row>
    <row r="1140" spans="1:36"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H1140">
        <v>8</v>
      </c>
      <c r="AI1140">
        <v>12</v>
      </c>
      <c r="AJ1140">
        <v>13</v>
      </c>
    </row>
    <row r="1141" spans="1:36"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H1141">
        <v>2</v>
      </c>
      <c r="AI1141">
        <v>0</v>
      </c>
      <c r="AJ1141">
        <v>2</v>
      </c>
    </row>
    <row r="1142" spans="1:36"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H1142">
        <v>7</v>
      </c>
      <c r="AI1142">
        <v>1</v>
      </c>
      <c r="AJ1142">
        <v>10</v>
      </c>
    </row>
    <row r="1143" spans="1:36"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H1143">
        <v>4</v>
      </c>
      <c r="AI1143">
        <v>1</v>
      </c>
      <c r="AJ1143">
        <v>1</v>
      </c>
    </row>
    <row r="1144" spans="1:36"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H1144">
        <v>7</v>
      </c>
      <c r="AI1144">
        <v>1</v>
      </c>
      <c r="AJ1144">
        <v>4</v>
      </c>
    </row>
    <row r="1145" spans="1:36"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H1145">
        <v>7</v>
      </c>
      <c r="AI1145">
        <v>4</v>
      </c>
      <c r="AJ1145">
        <v>5</v>
      </c>
    </row>
    <row r="1146" spans="1:36"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H1146">
        <v>2</v>
      </c>
      <c r="AI1146">
        <v>0</v>
      </c>
      <c r="AJ1146">
        <v>3</v>
      </c>
    </row>
    <row r="1147" spans="1:36"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H1147">
        <v>2</v>
      </c>
      <c r="AI1147">
        <v>1</v>
      </c>
      <c r="AJ1147">
        <v>1</v>
      </c>
    </row>
    <row r="1148" spans="1:36"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H1148">
        <v>7</v>
      </c>
      <c r="AI1148">
        <v>7</v>
      </c>
      <c r="AJ1148">
        <v>2</v>
      </c>
    </row>
    <row r="1149" spans="1:36"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H1149">
        <v>6</v>
      </c>
      <c r="AI1149">
        <v>1</v>
      </c>
      <c r="AJ1149">
        <v>4</v>
      </c>
    </row>
    <row r="1150" spans="1:36"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H1150">
        <v>7</v>
      </c>
      <c r="AI1150">
        <v>7</v>
      </c>
      <c r="AJ1150">
        <v>7</v>
      </c>
    </row>
    <row r="1151" spans="1:36"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H1151">
        <v>7</v>
      </c>
      <c r="AI1151">
        <v>0</v>
      </c>
      <c r="AJ1151">
        <v>7</v>
      </c>
    </row>
    <row r="1152" spans="1:36"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H1152">
        <v>15</v>
      </c>
      <c r="AI1152">
        <v>1</v>
      </c>
      <c r="AJ1152">
        <v>10</v>
      </c>
    </row>
    <row r="1153" spans="1:36"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H1153">
        <v>3</v>
      </c>
      <c r="AI1153">
        <v>0</v>
      </c>
      <c r="AJ1153">
        <v>0</v>
      </c>
    </row>
    <row r="1154" spans="1:36"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H1154">
        <v>2</v>
      </c>
      <c r="AI1154">
        <v>2</v>
      </c>
      <c r="AJ1154">
        <v>2</v>
      </c>
    </row>
    <row r="1155" spans="1:36"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H1155">
        <v>0</v>
      </c>
      <c r="AI1155">
        <v>0</v>
      </c>
      <c r="AJ1155">
        <v>0</v>
      </c>
    </row>
    <row r="1156" spans="1:36"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H1156">
        <v>2</v>
      </c>
      <c r="AI1156">
        <v>1</v>
      </c>
      <c r="AJ1156">
        <v>0</v>
      </c>
    </row>
    <row r="1157" spans="1:36"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H1157">
        <v>8</v>
      </c>
      <c r="AI1157">
        <v>0</v>
      </c>
      <c r="AJ1157">
        <v>7</v>
      </c>
    </row>
    <row r="1158" spans="1:36"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H1158">
        <v>15</v>
      </c>
      <c r="AI1158">
        <v>14</v>
      </c>
      <c r="AJ1158">
        <v>12</v>
      </c>
    </row>
    <row r="1159" spans="1:36"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H1159">
        <v>11</v>
      </c>
      <c r="AI1159">
        <v>2</v>
      </c>
      <c r="AJ1159">
        <v>9</v>
      </c>
    </row>
    <row r="1160" spans="1:36"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H1160">
        <v>3</v>
      </c>
      <c r="AI1160">
        <v>0</v>
      </c>
      <c r="AJ1160">
        <v>2</v>
      </c>
    </row>
    <row r="1161" spans="1:36"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H1161">
        <v>2</v>
      </c>
      <c r="AI1161">
        <v>3</v>
      </c>
      <c r="AJ1161">
        <v>8</v>
      </c>
    </row>
    <row r="1162" spans="1:36"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H1162">
        <v>7</v>
      </c>
      <c r="AI1162">
        <v>3</v>
      </c>
      <c r="AJ1162">
        <v>9</v>
      </c>
    </row>
    <row r="1163" spans="1:36"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H1163">
        <v>4</v>
      </c>
      <c r="AI1163">
        <v>0</v>
      </c>
      <c r="AJ1163">
        <v>2</v>
      </c>
    </row>
    <row r="1164" spans="1:36"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H1164">
        <v>12</v>
      </c>
      <c r="AI1164">
        <v>6</v>
      </c>
      <c r="AJ1164">
        <v>0</v>
      </c>
    </row>
    <row r="1165" spans="1:36"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H1165">
        <v>4</v>
      </c>
      <c r="AI1165">
        <v>7</v>
      </c>
      <c r="AJ1165">
        <v>7</v>
      </c>
    </row>
    <row r="1166" spans="1:36"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H1166">
        <v>2</v>
      </c>
      <c r="AI1166">
        <v>3</v>
      </c>
      <c r="AJ1166">
        <v>3</v>
      </c>
    </row>
    <row r="1167" spans="1:36"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H1167">
        <v>7</v>
      </c>
      <c r="AI1167">
        <v>0</v>
      </c>
      <c r="AJ1167">
        <v>2</v>
      </c>
    </row>
    <row r="1168" spans="1:36"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H1168">
        <v>2</v>
      </c>
      <c r="AI1168">
        <v>2</v>
      </c>
      <c r="AJ1168">
        <v>2</v>
      </c>
    </row>
    <row r="1169" spans="1:36"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H1169">
        <v>2</v>
      </c>
      <c r="AI1169">
        <v>2</v>
      </c>
      <c r="AJ1169">
        <v>2</v>
      </c>
    </row>
    <row r="1170" spans="1:36"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H1170">
        <v>3</v>
      </c>
      <c r="AI1170">
        <v>1</v>
      </c>
      <c r="AJ1170">
        <v>3</v>
      </c>
    </row>
    <row r="1171" spans="1:36"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H1171">
        <v>2</v>
      </c>
      <c r="AI1171">
        <v>0</v>
      </c>
      <c r="AJ1171">
        <v>2</v>
      </c>
    </row>
    <row r="1172" spans="1:36"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H1172">
        <v>2</v>
      </c>
      <c r="AI1172">
        <v>1</v>
      </c>
      <c r="AJ1172">
        <v>2</v>
      </c>
    </row>
    <row r="1173" spans="1:36"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H1173">
        <v>2</v>
      </c>
      <c r="AI1173">
        <v>0</v>
      </c>
      <c r="AJ1173">
        <v>3</v>
      </c>
    </row>
    <row r="1174" spans="1:36"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H1174">
        <v>2</v>
      </c>
      <c r="AI1174">
        <v>1</v>
      </c>
      <c r="AJ1174">
        <v>4</v>
      </c>
    </row>
    <row r="1175" spans="1:36"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H1175">
        <v>2</v>
      </c>
      <c r="AI1175">
        <v>0</v>
      </c>
      <c r="AJ1175">
        <v>2</v>
      </c>
    </row>
    <row r="1176" spans="1:36"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H1176">
        <v>7</v>
      </c>
      <c r="AI1176">
        <v>0</v>
      </c>
      <c r="AJ1176">
        <v>7</v>
      </c>
    </row>
    <row r="1177" spans="1:36"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H1177">
        <v>4</v>
      </c>
      <c r="AI1177">
        <v>1</v>
      </c>
      <c r="AJ1177">
        <v>0</v>
      </c>
    </row>
    <row r="1178" spans="1:36"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H1178">
        <v>2</v>
      </c>
      <c r="AI1178">
        <v>1</v>
      </c>
      <c r="AJ1178">
        <v>2</v>
      </c>
    </row>
    <row r="1179" spans="1:36"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H1179">
        <v>11</v>
      </c>
      <c r="AI1179">
        <v>1</v>
      </c>
      <c r="AJ1179">
        <v>11</v>
      </c>
    </row>
    <row r="1180" spans="1:36"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H1180">
        <v>2</v>
      </c>
      <c r="AI1180">
        <v>2</v>
      </c>
      <c r="AJ1180">
        <v>2</v>
      </c>
    </row>
    <row r="1181" spans="1:36"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H1181">
        <v>8</v>
      </c>
      <c r="AI1181">
        <v>7</v>
      </c>
      <c r="AJ1181">
        <v>9</v>
      </c>
    </row>
    <row r="1182" spans="1:36"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H1182">
        <v>3</v>
      </c>
      <c r="AI1182">
        <v>1</v>
      </c>
      <c r="AJ1182">
        <v>3</v>
      </c>
    </row>
    <row r="1183" spans="1:36"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H1183">
        <v>11</v>
      </c>
      <c r="AI1183">
        <v>2</v>
      </c>
      <c r="AJ1183">
        <v>12</v>
      </c>
    </row>
    <row r="1184" spans="1:36"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H1184">
        <v>2</v>
      </c>
      <c r="AI1184">
        <v>1</v>
      </c>
      <c r="AJ1184">
        <v>2</v>
      </c>
    </row>
    <row r="1185" spans="1:36"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H1185">
        <v>4</v>
      </c>
      <c r="AI1185">
        <v>0</v>
      </c>
      <c r="AJ1185">
        <v>4</v>
      </c>
    </row>
    <row r="1186" spans="1:36"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H1186">
        <v>8</v>
      </c>
      <c r="AI1186">
        <v>4</v>
      </c>
      <c r="AJ1186">
        <v>7</v>
      </c>
    </row>
    <row r="1187" spans="1:36"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H1187">
        <v>10</v>
      </c>
      <c r="AI1187">
        <v>6</v>
      </c>
      <c r="AJ1187">
        <v>11</v>
      </c>
    </row>
    <row r="1188" spans="1:36"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H1188">
        <v>9</v>
      </c>
      <c r="AI1188">
        <v>6</v>
      </c>
      <c r="AJ1188">
        <v>7</v>
      </c>
    </row>
    <row r="1189" spans="1:36"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H1189">
        <v>11</v>
      </c>
      <c r="AI1189">
        <v>2</v>
      </c>
      <c r="AJ1189">
        <v>9</v>
      </c>
    </row>
    <row r="1190" spans="1:36"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H1190">
        <v>0</v>
      </c>
      <c r="AI1190">
        <v>0</v>
      </c>
      <c r="AJ1190">
        <v>9</v>
      </c>
    </row>
    <row r="1191" spans="1:36"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H1191">
        <v>2</v>
      </c>
      <c r="AI1191">
        <v>0</v>
      </c>
      <c r="AJ1191">
        <v>4</v>
      </c>
    </row>
    <row r="1192" spans="1:36"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H1192">
        <v>5</v>
      </c>
      <c r="AI1192">
        <v>1</v>
      </c>
      <c r="AJ1192">
        <v>6</v>
      </c>
    </row>
    <row r="1193" spans="1:36"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H1193">
        <v>0</v>
      </c>
      <c r="AI1193">
        <v>0</v>
      </c>
      <c r="AJ1193">
        <v>2</v>
      </c>
    </row>
    <row r="1194" spans="1:36"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H1194">
        <v>2</v>
      </c>
      <c r="AI1194">
        <v>2</v>
      </c>
      <c r="AJ1194">
        <v>2</v>
      </c>
    </row>
    <row r="1195" spans="1:36"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H1195">
        <v>3</v>
      </c>
      <c r="AI1195">
        <v>3</v>
      </c>
      <c r="AJ1195">
        <v>3</v>
      </c>
    </row>
    <row r="1196" spans="1:36"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H1196">
        <v>2</v>
      </c>
      <c r="AI1196">
        <v>1</v>
      </c>
      <c r="AJ1196">
        <v>2</v>
      </c>
    </row>
    <row r="1197" spans="1:36"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H1197">
        <v>7</v>
      </c>
      <c r="AI1197">
        <v>0</v>
      </c>
      <c r="AJ1197">
        <v>0</v>
      </c>
    </row>
    <row r="1198" spans="1:36"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H1198">
        <v>0</v>
      </c>
      <c r="AI1198">
        <v>0</v>
      </c>
      <c r="AJ1198">
        <v>2</v>
      </c>
    </row>
    <row r="1199" spans="1:36"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H1199">
        <v>2</v>
      </c>
      <c r="AI1199">
        <v>0</v>
      </c>
      <c r="AJ1199">
        <v>2</v>
      </c>
    </row>
    <row r="1200" spans="1:36"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H1200">
        <v>5</v>
      </c>
      <c r="AI1200">
        <v>1</v>
      </c>
      <c r="AJ1200">
        <v>2</v>
      </c>
    </row>
    <row r="1201" spans="1:36"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H1201">
        <v>2</v>
      </c>
      <c r="AI1201">
        <v>0</v>
      </c>
      <c r="AJ1201">
        <v>2</v>
      </c>
    </row>
    <row r="1202" spans="1:36"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H1202">
        <v>2</v>
      </c>
      <c r="AI1202">
        <v>2</v>
      </c>
      <c r="AJ1202">
        <v>2</v>
      </c>
    </row>
    <row r="1203" spans="1:36"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H1203">
        <v>4</v>
      </c>
      <c r="AI1203">
        <v>1</v>
      </c>
      <c r="AJ1203">
        <v>2</v>
      </c>
    </row>
    <row r="1204" spans="1:36"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H1204">
        <v>0</v>
      </c>
      <c r="AI1204">
        <v>0</v>
      </c>
      <c r="AJ1204">
        <v>0</v>
      </c>
    </row>
    <row r="1205" spans="1:36"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H1205">
        <v>3</v>
      </c>
      <c r="AI1205">
        <v>1</v>
      </c>
      <c r="AJ1205">
        <v>2</v>
      </c>
    </row>
    <row r="1206" spans="1:36"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H1206">
        <v>7</v>
      </c>
      <c r="AI1206">
        <v>7</v>
      </c>
      <c r="AJ1206">
        <v>7</v>
      </c>
    </row>
    <row r="1207" spans="1:36"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H1207">
        <v>0</v>
      </c>
      <c r="AI1207">
        <v>0</v>
      </c>
      <c r="AJ1207">
        <v>0</v>
      </c>
    </row>
    <row r="1208" spans="1:36"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H1208">
        <v>7</v>
      </c>
      <c r="AI1208">
        <v>5</v>
      </c>
      <c r="AJ1208">
        <v>7</v>
      </c>
    </row>
    <row r="1209" spans="1:36"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H1209">
        <v>2</v>
      </c>
      <c r="AI1209">
        <v>1</v>
      </c>
      <c r="AJ1209">
        <v>2</v>
      </c>
    </row>
    <row r="1210" spans="1:36"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H1210">
        <v>10</v>
      </c>
      <c r="AI1210">
        <v>4</v>
      </c>
      <c r="AJ1210">
        <v>13</v>
      </c>
    </row>
    <row r="1211" spans="1:36"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H1211">
        <v>0</v>
      </c>
      <c r="AI1211">
        <v>0</v>
      </c>
      <c r="AJ1211">
        <v>0</v>
      </c>
    </row>
    <row r="1212" spans="1:36"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H1212">
        <v>11</v>
      </c>
      <c r="AI1212">
        <v>2</v>
      </c>
      <c r="AJ1212">
        <v>13</v>
      </c>
    </row>
    <row r="1213" spans="1:36"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H1213">
        <v>3</v>
      </c>
      <c r="AI1213">
        <v>1</v>
      </c>
      <c r="AJ1213">
        <v>3</v>
      </c>
    </row>
    <row r="1214" spans="1:36"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H1214">
        <v>9</v>
      </c>
      <c r="AI1214">
        <v>8</v>
      </c>
      <c r="AJ1214">
        <v>7</v>
      </c>
    </row>
    <row r="1215" spans="1:36"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H1215">
        <v>2</v>
      </c>
      <c r="AI1215">
        <v>0</v>
      </c>
      <c r="AJ1215">
        <v>2</v>
      </c>
    </row>
    <row r="1216" spans="1:36"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H1216">
        <v>7</v>
      </c>
      <c r="AI1216">
        <v>6</v>
      </c>
      <c r="AJ1216">
        <v>7</v>
      </c>
    </row>
    <row r="1217" spans="1:36"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H1217">
        <v>4</v>
      </c>
      <c r="AI1217">
        <v>1</v>
      </c>
      <c r="AJ1217">
        <v>4</v>
      </c>
    </row>
    <row r="1218" spans="1:36"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H1218">
        <v>9</v>
      </c>
      <c r="AI1218">
        <v>8</v>
      </c>
      <c r="AJ1218">
        <v>8</v>
      </c>
    </row>
    <row r="1219" spans="1:36"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H1219">
        <v>3</v>
      </c>
      <c r="AI1219">
        <v>0</v>
      </c>
      <c r="AJ1219">
        <v>4</v>
      </c>
    </row>
    <row r="1220" spans="1:36"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H1220">
        <v>8</v>
      </c>
      <c r="AI1220">
        <v>8</v>
      </c>
      <c r="AJ1220">
        <v>7</v>
      </c>
    </row>
    <row r="1221" spans="1:36"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H1221">
        <v>3</v>
      </c>
      <c r="AI1221">
        <v>1</v>
      </c>
      <c r="AJ1221">
        <v>2</v>
      </c>
    </row>
    <row r="1222" spans="1:36"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H1222">
        <v>7</v>
      </c>
      <c r="AI1222">
        <v>6</v>
      </c>
      <c r="AJ1222">
        <v>7</v>
      </c>
    </row>
    <row r="1223" spans="1:36"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H1223">
        <v>15</v>
      </c>
      <c r="AI1223">
        <v>14</v>
      </c>
      <c r="AJ1223">
        <v>4</v>
      </c>
    </row>
    <row r="1224" spans="1:36"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H1224">
        <v>0</v>
      </c>
      <c r="AI1224">
        <v>0</v>
      </c>
      <c r="AJ1224">
        <v>0</v>
      </c>
    </row>
    <row r="1225" spans="1:36"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H1225">
        <v>5</v>
      </c>
      <c r="AI1225">
        <v>14</v>
      </c>
      <c r="AJ1225">
        <v>10</v>
      </c>
    </row>
    <row r="1226" spans="1:36"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H1226">
        <v>2</v>
      </c>
      <c r="AI1226">
        <v>0</v>
      </c>
      <c r="AJ1226">
        <v>2</v>
      </c>
    </row>
    <row r="1227" spans="1:36"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H1227">
        <v>6</v>
      </c>
      <c r="AI1227">
        <v>8</v>
      </c>
      <c r="AJ1227">
        <v>6</v>
      </c>
    </row>
    <row r="1228" spans="1:36"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H1228">
        <v>2</v>
      </c>
      <c r="AI1228">
        <v>1</v>
      </c>
      <c r="AJ1228">
        <v>3</v>
      </c>
    </row>
    <row r="1229" spans="1:36"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H1229">
        <v>2</v>
      </c>
      <c r="AI1229">
        <v>0</v>
      </c>
      <c r="AJ1229">
        <v>3</v>
      </c>
    </row>
    <row r="1230" spans="1:36"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H1230">
        <v>2</v>
      </c>
      <c r="AI1230">
        <v>1</v>
      </c>
      <c r="AJ1230">
        <v>2</v>
      </c>
    </row>
    <row r="1231" spans="1:36"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H1231">
        <v>0</v>
      </c>
      <c r="AI1231">
        <v>0</v>
      </c>
      <c r="AJ1231">
        <v>0</v>
      </c>
    </row>
    <row r="1232" spans="1:36"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H1232">
        <v>2</v>
      </c>
      <c r="AI1232">
        <v>1</v>
      </c>
      <c r="AJ1232">
        <v>2</v>
      </c>
    </row>
    <row r="1233" spans="1:36"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H1233">
        <v>7</v>
      </c>
      <c r="AI1233">
        <v>0</v>
      </c>
      <c r="AJ1233">
        <v>9</v>
      </c>
    </row>
    <row r="1234" spans="1:36"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H1234">
        <v>7</v>
      </c>
      <c r="AI1234">
        <v>0</v>
      </c>
      <c r="AJ1234">
        <v>7</v>
      </c>
    </row>
    <row r="1235" spans="1:36"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H1235">
        <v>0</v>
      </c>
      <c r="AI1235">
        <v>0</v>
      </c>
      <c r="AJ1235">
        <v>8</v>
      </c>
    </row>
    <row r="1236" spans="1:36"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H1236">
        <v>0</v>
      </c>
      <c r="AI1236">
        <v>0</v>
      </c>
      <c r="AJ1236">
        <v>0</v>
      </c>
    </row>
    <row r="1237" spans="1:36"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H1237">
        <v>6</v>
      </c>
      <c r="AI1237">
        <v>0</v>
      </c>
      <c r="AJ1237">
        <v>3</v>
      </c>
    </row>
    <row r="1238" spans="1:36"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H1238">
        <v>2</v>
      </c>
      <c r="AI1238">
        <v>2</v>
      </c>
      <c r="AJ1238">
        <v>2</v>
      </c>
    </row>
    <row r="1239" spans="1:36"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H1239">
        <v>0</v>
      </c>
      <c r="AI1239">
        <v>0</v>
      </c>
      <c r="AJ1239">
        <v>0</v>
      </c>
    </row>
    <row r="1240" spans="1:36"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H1240">
        <v>2</v>
      </c>
      <c r="AI1240">
        <v>1</v>
      </c>
      <c r="AJ1240">
        <v>2</v>
      </c>
    </row>
    <row r="1241" spans="1:36"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H1241">
        <v>4</v>
      </c>
      <c r="AI1241">
        <v>1</v>
      </c>
      <c r="AJ1241">
        <v>4</v>
      </c>
    </row>
    <row r="1242" spans="1:36"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H1242">
        <v>8</v>
      </c>
      <c r="AI1242">
        <v>5</v>
      </c>
      <c r="AJ1242">
        <v>8</v>
      </c>
    </row>
    <row r="1243" spans="1:36"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H1243">
        <v>3</v>
      </c>
      <c r="AI1243">
        <v>0</v>
      </c>
      <c r="AJ1243">
        <v>2</v>
      </c>
    </row>
    <row r="1244" spans="1:36"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H1244">
        <v>8</v>
      </c>
      <c r="AI1244">
        <v>12</v>
      </c>
      <c r="AJ1244">
        <v>8</v>
      </c>
    </row>
    <row r="1245" spans="1:36"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H1245">
        <v>0</v>
      </c>
      <c r="AI1245">
        <v>0</v>
      </c>
      <c r="AJ1245">
        <v>3</v>
      </c>
    </row>
    <row r="1246" spans="1:36"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H1246">
        <v>7</v>
      </c>
      <c r="AI1246">
        <v>0</v>
      </c>
      <c r="AJ1246">
        <v>7</v>
      </c>
    </row>
    <row r="1247" spans="1:36"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H1247">
        <v>2</v>
      </c>
      <c r="AI1247">
        <v>2</v>
      </c>
      <c r="AJ1247">
        <v>1</v>
      </c>
    </row>
    <row r="1248" spans="1:36"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H1248">
        <v>2</v>
      </c>
      <c r="AI1248">
        <v>1</v>
      </c>
      <c r="AJ1248">
        <v>2</v>
      </c>
    </row>
    <row r="1249" spans="1:36"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H1249">
        <v>2</v>
      </c>
      <c r="AI1249">
        <v>0</v>
      </c>
      <c r="AJ1249">
        <v>2</v>
      </c>
    </row>
    <row r="1250" spans="1:36"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H1250">
        <v>2</v>
      </c>
      <c r="AI1250">
        <v>1</v>
      </c>
      <c r="AJ1250">
        <v>4</v>
      </c>
    </row>
    <row r="1251" spans="1:36"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H1251">
        <v>2</v>
      </c>
      <c r="AI1251">
        <v>2</v>
      </c>
      <c r="AJ1251">
        <v>2</v>
      </c>
    </row>
    <row r="1252" spans="1:36"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H1252">
        <v>2</v>
      </c>
      <c r="AI1252">
        <v>0</v>
      </c>
      <c r="AJ1252">
        <v>2</v>
      </c>
    </row>
    <row r="1253" spans="1:36"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H1253">
        <v>7</v>
      </c>
      <c r="AI1253">
        <v>1</v>
      </c>
      <c r="AJ1253">
        <v>7</v>
      </c>
    </row>
    <row r="1254" spans="1:36"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H1254">
        <v>0</v>
      </c>
      <c r="AI1254">
        <v>1</v>
      </c>
      <c r="AJ1254">
        <v>2</v>
      </c>
    </row>
    <row r="1255" spans="1:36"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H1255">
        <v>7</v>
      </c>
      <c r="AI1255">
        <v>1</v>
      </c>
      <c r="AJ1255">
        <v>7</v>
      </c>
    </row>
    <row r="1256" spans="1:36"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H1256">
        <v>1</v>
      </c>
      <c r="AI1256">
        <v>0</v>
      </c>
      <c r="AJ1256">
        <v>4</v>
      </c>
    </row>
    <row r="1257" spans="1:36"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H1257">
        <v>0</v>
      </c>
      <c r="AI1257">
        <v>0</v>
      </c>
      <c r="AJ1257">
        <v>0</v>
      </c>
    </row>
    <row r="1258" spans="1:36"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H1258">
        <v>1</v>
      </c>
      <c r="AI1258">
        <v>0</v>
      </c>
      <c r="AJ1258">
        <v>5</v>
      </c>
    </row>
    <row r="1259" spans="1:36"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H1259">
        <v>0</v>
      </c>
      <c r="AI1259">
        <v>0</v>
      </c>
      <c r="AJ1259">
        <v>0</v>
      </c>
    </row>
    <row r="1260" spans="1:36"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H1260">
        <v>0</v>
      </c>
      <c r="AI1260">
        <v>0</v>
      </c>
      <c r="AJ1260">
        <v>0</v>
      </c>
    </row>
    <row r="1261" spans="1:36"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H1261">
        <v>0</v>
      </c>
      <c r="AI1261">
        <v>1</v>
      </c>
      <c r="AJ1261">
        <v>7</v>
      </c>
    </row>
    <row r="1262" spans="1:36"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H1262">
        <v>7</v>
      </c>
      <c r="AI1262">
        <v>0</v>
      </c>
      <c r="AJ1262">
        <v>7</v>
      </c>
    </row>
    <row r="1263" spans="1:36"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H1263">
        <v>0</v>
      </c>
      <c r="AI1263">
        <v>1</v>
      </c>
      <c r="AJ1263">
        <v>0</v>
      </c>
    </row>
    <row r="1264" spans="1:36"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H1264">
        <v>0</v>
      </c>
      <c r="AI1264">
        <v>0</v>
      </c>
      <c r="AJ1264">
        <v>0</v>
      </c>
    </row>
    <row r="1265" spans="1:36"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H1265">
        <v>3</v>
      </c>
      <c r="AI1265">
        <v>0</v>
      </c>
      <c r="AJ1265">
        <v>4</v>
      </c>
    </row>
    <row r="1266" spans="1:36"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H1266">
        <v>0</v>
      </c>
      <c r="AI1266">
        <v>0</v>
      </c>
      <c r="AJ1266">
        <v>0</v>
      </c>
    </row>
    <row r="1267" spans="1:36"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H1267">
        <v>8</v>
      </c>
      <c r="AI1267">
        <v>1</v>
      </c>
      <c r="AJ1267">
        <v>7</v>
      </c>
    </row>
    <row r="1268" spans="1:36"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H1268">
        <v>3</v>
      </c>
      <c r="AI1268">
        <v>0</v>
      </c>
      <c r="AJ1268">
        <v>4</v>
      </c>
    </row>
    <row r="1269" spans="1:36"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H1269">
        <v>14</v>
      </c>
      <c r="AI1269">
        <v>0</v>
      </c>
      <c r="AJ1269">
        <v>7</v>
      </c>
    </row>
    <row r="1270" spans="1:36"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H1270">
        <v>2</v>
      </c>
      <c r="AI1270">
        <v>0</v>
      </c>
      <c r="AJ1270">
        <v>2</v>
      </c>
    </row>
    <row r="1271" spans="1:36"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H1271">
        <v>7</v>
      </c>
      <c r="AI1271">
        <v>1</v>
      </c>
      <c r="AJ1271">
        <v>8</v>
      </c>
    </row>
    <row r="1272" spans="1:36"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H1272">
        <v>2</v>
      </c>
      <c r="AI1272">
        <v>2</v>
      </c>
      <c r="AJ1272">
        <v>2</v>
      </c>
    </row>
    <row r="1273" spans="1:36"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H1273">
        <v>0</v>
      </c>
      <c r="AI1273">
        <v>1</v>
      </c>
      <c r="AJ1273">
        <v>0</v>
      </c>
    </row>
    <row r="1274" spans="1:36"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H1274">
        <v>4</v>
      </c>
      <c r="AI1274">
        <v>0</v>
      </c>
      <c r="AJ1274">
        <v>4</v>
      </c>
    </row>
    <row r="1275" spans="1:36"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H1275">
        <v>0</v>
      </c>
      <c r="AI1275">
        <v>0</v>
      </c>
      <c r="AJ1275">
        <v>0</v>
      </c>
    </row>
    <row r="1276" spans="1:36"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H1276">
        <v>7</v>
      </c>
      <c r="AI1276">
        <v>5</v>
      </c>
      <c r="AJ1276">
        <v>7</v>
      </c>
    </row>
    <row r="1277" spans="1:36"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H1277">
        <v>2</v>
      </c>
      <c r="AI1277">
        <v>2</v>
      </c>
      <c r="AJ1277">
        <v>2</v>
      </c>
    </row>
    <row r="1278" spans="1:36"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H1278">
        <v>2</v>
      </c>
      <c r="AI1278">
        <v>0</v>
      </c>
      <c r="AJ1278">
        <v>3</v>
      </c>
    </row>
    <row r="1279" spans="1:36"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H1279">
        <v>1</v>
      </c>
      <c r="AI1279">
        <v>2</v>
      </c>
      <c r="AJ1279">
        <v>2</v>
      </c>
    </row>
    <row r="1280" spans="1:36"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H1280">
        <v>8</v>
      </c>
      <c r="AI1280">
        <v>5</v>
      </c>
      <c r="AJ1280">
        <v>7</v>
      </c>
    </row>
    <row r="1281" spans="1:36"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H1281">
        <v>3</v>
      </c>
      <c r="AI1281">
        <v>2</v>
      </c>
      <c r="AJ1281">
        <v>3</v>
      </c>
    </row>
    <row r="1282" spans="1:36"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H1282">
        <v>0</v>
      </c>
      <c r="AI1282">
        <v>4</v>
      </c>
      <c r="AJ1282">
        <v>7</v>
      </c>
    </row>
    <row r="1283" spans="1:36"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H1283">
        <v>7</v>
      </c>
      <c r="AI1283">
        <v>7</v>
      </c>
      <c r="AJ1283">
        <v>7</v>
      </c>
    </row>
    <row r="1284" spans="1:36"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H1284">
        <v>8</v>
      </c>
      <c r="AI1284">
        <v>7</v>
      </c>
      <c r="AJ1284">
        <v>6</v>
      </c>
    </row>
    <row r="1285" spans="1:36"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H1285">
        <v>3</v>
      </c>
      <c r="AI1285">
        <v>0</v>
      </c>
      <c r="AJ1285">
        <v>3</v>
      </c>
    </row>
    <row r="1286" spans="1:36"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H1286">
        <v>3</v>
      </c>
      <c r="AI1286">
        <v>2</v>
      </c>
      <c r="AJ1286">
        <v>2</v>
      </c>
    </row>
    <row r="1287" spans="1:36"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H1287">
        <v>2</v>
      </c>
      <c r="AI1287">
        <v>2</v>
      </c>
      <c r="AJ1287">
        <v>2</v>
      </c>
    </row>
    <row r="1288" spans="1:36"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H1288">
        <v>3</v>
      </c>
      <c r="AI1288">
        <v>0</v>
      </c>
      <c r="AJ1288">
        <v>2</v>
      </c>
    </row>
    <row r="1289" spans="1:36"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H1289">
        <v>0</v>
      </c>
      <c r="AI1289">
        <v>0</v>
      </c>
      <c r="AJ1289">
        <v>0</v>
      </c>
    </row>
    <row r="1290" spans="1:36"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H1290">
        <v>7</v>
      </c>
      <c r="AI1290">
        <v>1</v>
      </c>
      <c r="AJ1290">
        <v>7</v>
      </c>
    </row>
    <row r="1291" spans="1:36"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H1291">
        <v>10</v>
      </c>
      <c r="AI1291">
        <v>3</v>
      </c>
      <c r="AJ1291">
        <v>8</v>
      </c>
    </row>
    <row r="1292" spans="1:36"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H1292">
        <v>1</v>
      </c>
      <c r="AI1292">
        <v>0</v>
      </c>
      <c r="AJ1292">
        <v>7</v>
      </c>
    </row>
    <row r="1293" spans="1:36"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H1293">
        <v>3</v>
      </c>
      <c r="AI1293">
        <v>0</v>
      </c>
      <c r="AJ1293">
        <v>8</v>
      </c>
    </row>
    <row r="1294" spans="1:36"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H1294">
        <v>1</v>
      </c>
      <c r="AI1294">
        <v>2</v>
      </c>
      <c r="AJ1294">
        <v>2</v>
      </c>
    </row>
    <row r="1295" spans="1:36"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H1295">
        <v>2</v>
      </c>
      <c r="AI1295">
        <v>1</v>
      </c>
      <c r="AJ1295">
        <v>2</v>
      </c>
    </row>
    <row r="1296" spans="1:36"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H1296">
        <v>2</v>
      </c>
      <c r="AI1296">
        <v>1</v>
      </c>
      <c r="AJ1296">
        <v>2</v>
      </c>
    </row>
    <row r="1297" spans="1:36"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H1297">
        <v>14</v>
      </c>
      <c r="AI1297">
        <v>13</v>
      </c>
      <c r="AJ1297">
        <v>5</v>
      </c>
    </row>
    <row r="1298" spans="1:36"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H1298">
        <v>7</v>
      </c>
      <c r="AI1298">
        <v>0</v>
      </c>
      <c r="AJ1298">
        <v>2</v>
      </c>
    </row>
    <row r="1299" spans="1:36"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H1299">
        <v>1</v>
      </c>
      <c r="AI1299">
        <v>1</v>
      </c>
      <c r="AJ1299">
        <v>4</v>
      </c>
    </row>
    <row r="1300" spans="1:36"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H1300">
        <v>7</v>
      </c>
      <c r="AI1300">
        <v>3</v>
      </c>
      <c r="AJ1300">
        <v>7</v>
      </c>
    </row>
    <row r="1301" spans="1:36"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H1301">
        <v>3</v>
      </c>
      <c r="AI1301">
        <v>0</v>
      </c>
      <c r="AJ1301">
        <v>3</v>
      </c>
    </row>
    <row r="1302" spans="1:36"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H1302">
        <v>8</v>
      </c>
      <c r="AI1302">
        <v>4</v>
      </c>
      <c r="AJ1302">
        <v>8</v>
      </c>
    </row>
    <row r="1303" spans="1:36"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H1303">
        <v>9</v>
      </c>
      <c r="AI1303">
        <v>14</v>
      </c>
      <c r="AJ1303">
        <v>14</v>
      </c>
    </row>
    <row r="1304" spans="1:36"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H1304">
        <v>4</v>
      </c>
      <c r="AI1304">
        <v>0</v>
      </c>
      <c r="AJ1304">
        <v>3</v>
      </c>
    </row>
    <row r="1305" spans="1:36"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H1305">
        <v>11</v>
      </c>
      <c r="AI1305">
        <v>14</v>
      </c>
      <c r="AJ1305">
        <v>10</v>
      </c>
    </row>
    <row r="1306" spans="1:36"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H1306">
        <v>4</v>
      </c>
      <c r="AI1306">
        <v>7</v>
      </c>
      <c r="AJ1306">
        <v>7</v>
      </c>
    </row>
    <row r="1307" spans="1:36"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H1307">
        <v>1</v>
      </c>
      <c r="AI1307">
        <v>1</v>
      </c>
      <c r="AJ1307">
        <v>7</v>
      </c>
    </row>
    <row r="1308" spans="1:36"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H1308">
        <v>2</v>
      </c>
      <c r="AI1308">
        <v>2</v>
      </c>
      <c r="AJ1308">
        <v>2</v>
      </c>
    </row>
    <row r="1309" spans="1:36"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H1309">
        <v>2</v>
      </c>
      <c r="AI1309">
        <v>1</v>
      </c>
      <c r="AJ1309">
        <v>2</v>
      </c>
    </row>
    <row r="1310" spans="1:36"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H1310">
        <v>2</v>
      </c>
      <c r="AI1310">
        <v>0</v>
      </c>
      <c r="AJ1310">
        <v>3</v>
      </c>
    </row>
    <row r="1311" spans="1:36"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H1311">
        <v>3</v>
      </c>
      <c r="AI1311">
        <v>1</v>
      </c>
      <c r="AJ1311">
        <v>2</v>
      </c>
    </row>
    <row r="1312" spans="1:36"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H1312">
        <v>2</v>
      </c>
      <c r="AI1312">
        <v>2</v>
      </c>
      <c r="AJ1312">
        <v>2</v>
      </c>
    </row>
    <row r="1313" spans="1:36"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H1313">
        <v>0</v>
      </c>
      <c r="AI1313">
        <v>0</v>
      </c>
      <c r="AJ1313">
        <v>0</v>
      </c>
    </row>
    <row r="1314" spans="1:36"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H1314">
        <v>0</v>
      </c>
      <c r="AI1314">
        <v>0</v>
      </c>
      <c r="AJ1314">
        <v>0</v>
      </c>
    </row>
    <row r="1315" spans="1:36"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H1315">
        <v>2</v>
      </c>
      <c r="AI1315">
        <v>2</v>
      </c>
      <c r="AJ1315">
        <v>0</v>
      </c>
    </row>
    <row r="1316" spans="1:36"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H1316">
        <v>7</v>
      </c>
      <c r="AI1316">
        <v>5</v>
      </c>
      <c r="AJ1316">
        <v>7</v>
      </c>
    </row>
    <row r="1317" spans="1:36"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H1317">
        <v>0</v>
      </c>
      <c r="AI1317">
        <v>0</v>
      </c>
      <c r="AJ1317">
        <v>0</v>
      </c>
    </row>
    <row r="1318" spans="1:36"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H1318">
        <v>7</v>
      </c>
      <c r="AI1318">
        <v>7</v>
      </c>
      <c r="AJ1318">
        <v>7</v>
      </c>
    </row>
    <row r="1319" spans="1:36"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H1319">
        <v>4</v>
      </c>
      <c r="AI1319">
        <v>0</v>
      </c>
      <c r="AJ1319">
        <v>2</v>
      </c>
    </row>
    <row r="1320" spans="1:36"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H1320">
        <v>8</v>
      </c>
      <c r="AI1320">
        <v>3</v>
      </c>
      <c r="AJ1320">
        <v>10</v>
      </c>
    </row>
    <row r="1321" spans="1:36"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H1321">
        <v>0</v>
      </c>
      <c r="AI1321">
        <v>0</v>
      </c>
      <c r="AJ1321">
        <v>0</v>
      </c>
    </row>
    <row r="1322" spans="1:36"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H1322">
        <v>3</v>
      </c>
      <c r="AI1322">
        <v>3</v>
      </c>
      <c r="AJ1322">
        <v>3</v>
      </c>
    </row>
    <row r="1323" spans="1:36"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H1323">
        <v>2</v>
      </c>
      <c r="AI1323">
        <v>2</v>
      </c>
      <c r="AJ1323">
        <v>0</v>
      </c>
    </row>
    <row r="1324" spans="1:36"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H1324">
        <v>8</v>
      </c>
      <c r="AI1324">
        <v>4</v>
      </c>
      <c r="AJ1324">
        <v>7</v>
      </c>
    </row>
    <row r="1325" spans="1:36"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H1325">
        <v>2</v>
      </c>
      <c r="AI1325">
        <v>2</v>
      </c>
      <c r="AJ1325">
        <v>2</v>
      </c>
    </row>
    <row r="1326" spans="1:36"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H1326">
        <v>0</v>
      </c>
      <c r="AI1326">
        <v>1</v>
      </c>
      <c r="AJ1326">
        <v>6</v>
      </c>
    </row>
    <row r="1327" spans="1:36"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H1327">
        <v>0</v>
      </c>
      <c r="AI1327">
        <v>0</v>
      </c>
      <c r="AJ1327">
        <v>0</v>
      </c>
    </row>
    <row r="1328" spans="1:36"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H1328">
        <v>2</v>
      </c>
      <c r="AI1328">
        <v>2</v>
      </c>
      <c r="AJ1328">
        <v>2</v>
      </c>
    </row>
    <row r="1329" spans="1:36"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H1329">
        <v>17</v>
      </c>
      <c r="AI1329">
        <v>2</v>
      </c>
      <c r="AJ1329">
        <v>8</v>
      </c>
    </row>
    <row r="1330" spans="1:36"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H1330">
        <v>8</v>
      </c>
      <c r="AI1330">
        <v>5</v>
      </c>
      <c r="AJ1330">
        <v>8</v>
      </c>
    </row>
    <row r="1331" spans="1:36"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H1331">
        <v>0</v>
      </c>
      <c r="AI1331">
        <v>0</v>
      </c>
      <c r="AJ1331">
        <v>0</v>
      </c>
    </row>
    <row r="1332" spans="1:36"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H1332">
        <v>12</v>
      </c>
      <c r="AI1332">
        <v>6</v>
      </c>
      <c r="AJ1332">
        <v>14</v>
      </c>
    </row>
    <row r="1333" spans="1:36"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H1333">
        <v>10</v>
      </c>
      <c r="AI1333">
        <v>12</v>
      </c>
      <c r="AJ1333">
        <v>9</v>
      </c>
    </row>
    <row r="1334" spans="1:36"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H1334">
        <v>0</v>
      </c>
      <c r="AI1334">
        <v>1</v>
      </c>
      <c r="AJ1334">
        <v>0</v>
      </c>
    </row>
    <row r="1335" spans="1:36"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H1335">
        <v>7</v>
      </c>
      <c r="AI1335">
        <v>0</v>
      </c>
      <c r="AJ1335">
        <v>7</v>
      </c>
    </row>
    <row r="1336" spans="1:36"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H1336">
        <v>6</v>
      </c>
      <c r="AI1336">
        <v>7</v>
      </c>
      <c r="AJ1336">
        <v>3</v>
      </c>
    </row>
    <row r="1337" spans="1:36"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H1337">
        <v>2</v>
      </c>
      <c r="AI1337">
        <v>2</v>
      </c>
      <c r="AJ1337">
        <v>2</v>
      </c>
    </row>
    <row r="1338" spans="1:36"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H1338">
        <v>2</v>
      </c>
      <c r="AI1338">
        <v>0</v>
      </c>
      <c r="AJ1338">
        <v>4</v>
      </c>
    </row>
    <row r="1339" spans="1:36"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H1339">
        <v>0</v>
      </c>
      <c r="AI1339">
        <v>0</v>
      </c>
      <c r="AJ1339">
        <v>0</v>
      </c>
    </row>
    <row r="1340" spans="1:36"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H1340">
        <v>0</v>
      </c>
      <c r="AI1340">
        <v>0</v>
      </c>
      <c r="AJ1340">
        <v>0</v>
      </c>
    </row>
    <row r="1341" spans="1:36"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H1341">
        <v>0</v>
      </c>
      <c r="AI1341">
        <v>0</v>
      </c>
      <c r="AJ1341">
        <v>0</v>
      </c>
    </row>
    <row r="1342" spans="1:36"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H1342">
        <v>9</v>
      </c>
      <c r="AI1342">
        <v>1</v>
      </c>
      <c r="AJ1342">
        <v>7</v>
      </c>
    </row>
    <row r="1343" spans="1:36"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H1343">
        <v>8</v>
      </c>
      <c r="AI1343">
        <v>0</v>
      </c>
      <c r="AJ1343">
        <v>2</v>
      </c>
    </row>
    <row r="1344" spans="1:36"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H1344">
        <v>3</v>
      </c>
      <c r="AI1344">
        <v>1</v>
      </c>
      <c r="AJ1344">
        <v>0</v>
      </c>
    </row>
    <row r="1345" spans="1:36"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H1345">
        <v>2</v>
      </c>
      <c r="AI1345">
        <v>1</v>
      </c>
      <c r="AJ1345">
        <v>2</v>
      </c>
    </row>
    <row r="1346" spans="1:36"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H1346">
        <v>3</v>
      </c>
      <c r="AI1346">
        <v>0</v>
      </c>
      <c r="AJ1346">
        <v>4</v>
      </c>
    </row>
    <row r="1347" spans="1:36"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H1347">
        <v>2</v>
      </c>
      <c r="AI1347">
        <v>0</v>
      </c>
      <c r="AJ1347">
        <v>2</v>
      </c>
    </row>
    <row r="1348" spans="1:36"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H1348">
        <v>8</v>
      </c>
      <c r="AI1348">
        <v>3</v>
      </c>
      <c r="AJ1348">
        <v>8</v>
      </c>
    </row>
    <row r="1349" spans="1:36"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H1349">
        <v>1</v>
      </c>
      <c r="AI1349">
        <v>0</v>
      </c>
      <c r="AJ1349">
        <v>8</v>
      </c>
    </row>
    <row r="1350" spans="1:36"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H1350">
        <v>7</v>
      </c>
      <c r="AI1350">
        <v>11</v>
      </c>
      <c r="AJ1350">
        <v>16</v>
      </c>
    </row>
    <row r="1351" spans="1:36"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H1351">
        <v>0</v>
      </c>
      <c r="AI1351">
        <v>1</v>
      </c>
      <c r="AJ1351">
        <v>0</v>
      </c>
    </row>
    <row r="1352" spans="1:36"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H1352">
        <v>7</v>
      </c>
      <c r="AI1352">
        <v>0</v>
      </c>
      <c r="AJ1352">
        <v>7</v>
      </c>
    </row>
    <row r="1353" spans="1:36"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H1353">
        <v>17</v>
      </c>
      <c r="AI1353">
        <v>4</v>
      </c>
      <c r="AJ1353">
        <v>7</v>
      </c>
    </row>
    <row r="1354" spans="1:36"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H1354">
        <v>0</v>
      </c>
      <c r="AI1354">
        <v>2</v>
      </c>
      <c r="AJ1354">
        <v>2</v>
      </c>
    </row>
    <row r="1355" spans="1:36"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H1355">
        <v>2</v>
      </c>
      <c r="AI1355">
        <v>3</v>
      </c>
      <c r="AJ1355">
        <v>0</v>
      </c>
    </row>
    <row r="1356" spans="1:36"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H1356">
        <v>2</v>
      </c>
      <c r="AI1356">
        <v>1</v>
      </c>
      <c r="AJ1356">
        <v>0</v>
      </c>
    </row>
    <row r="1357" spans="1:36"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H1357">
        <v>2</v>
      </c>
      <c r="AI1357">
        <v>1</v>
      </c>
      <c r="AJ1357">
        <v>3</v>
      </c>
    </row>
    <row r="1358" spans="1:36"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H1358">
        <v>4</v>
      </c>
      <c r="AI1358">
        <v>1</v>
      </c>
      <c r="AJ1358">
        <v>4</v>
      </c>
    </row>
    <row r="1359" spans="1:36"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H1359">
        <v>7</v>
      </c>
      <c r="AI1359">
        <v>5</v>
      </c>
      <c r="AJ1359">
        <v>7</v>
      </c>
    </row>
    <row r="1360" spans="1:36"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H1360">
        <v>2</v>
      </c>
      <c r="AI1360">
        <v>1</v>
      </c>
      <c r="AJ1360">
        <v>4</v>
      </c>
    </row>
    <row r="1361" spans="1:36"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H1361">
        <v>2</v>
      </c>
      <c r="AI1361">
        <v>0</v>
      </c>
      <c r="AJ1361">
        <v>1</v>
      </c>
    </row>
    <row r="1362" spans="1:36"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H1362">
        <v>2</v>
      </c>
      <c r="AI1362">
        <v>2</v>
      </c>
      <c r="AJ1362">
        <v>2</v>
      </c>
    </row>
    <row r="1363" spans="1:36"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H1363">
        <v>7</v>
      </c>
      <c r="AI1363">
        <v>7</v>
      </c>
      <c r="AJ1363">
        <v>7</v>
      </c>
    </row>
    <row r="1364" spans="1:36"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H1364">
        <v>2</v>
      </c>
      <c r="AI1364">
        <v>0</v>
      </c>
      <c r="AJ1364">
        <v>3</v>
      </c>
    </row>
    <row r="1365" spans="1:36"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H1365">
        <v>4</v>
      </c>
      <c r="AI1365">
        <v>0</v>
      </c>
      <c r="AJ1365">
        <v>9</v>
      </c>
    </row>
    <row r="1366" spans="1:36"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H1366">
        <v>7</v>
      </c>
      <c r="AI1366">
        <v>0</v>
      </c>
      <c r="AJ1366">
        <v>7</v>
      </c>
    </row>
    <row r="1367" spans="1:36"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H1367">
        <v>0</v>
      </c>
      <c r="AI1367">
        <v>0</v>
      </c>
      <c r="AJ1367">
        <v>0</v>
      </c>
    </row>
    <row r="1368" spans="1:36"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H1368">
        <v>2</v>
      </c>
      <c r="AI1368">
        <v>1</v>
      </c>
      <c r="AJ1368">
        <v>2</v>
      </c>
    </row>
    <row r="1369" spans="1:36"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H1369">
        <v>3</v>
      </c>
      <c r="AI1369">
        <v>1</v>
      </c>
      <c r="AJ1369">
        <v>2</v>
      </c>
    </row>
    <row r="1370" spans="1:36"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H1370">
        <v>10</v>
      </c>
      <c r="AI1370">
        <v>6</v>
      </c>
      <c r="AJ1370">
        <v>11</v>
      </c>
    </row>
    <row r="1371" spans="1:36"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H1371">
        <v>0</v>
      </c>
      <c r="AI1371">
        <v>2</v>
      </c>
      <c r="AJ1371">
        <v>2</v>
      </c>
    </row>
    <row r="1372" spans="1:36"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H1372">
        <v>7</v>
      </c>
      <c r="AI1372">
        <v>1</v>
      </c>
      <c r="AJ1372">
        <v>7</v>
      </c>
    </row>
    <row r="1373" spans="1:36"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H1373">
        <v>0</v>
      </c>
      <c r="AI1373">
        <v>0</v>
      </c>
      <c r="AJ1373">
        <v>0</v>
      </c>
    </row>
    <row r="1374" spans="1:36"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H1374">
        <v>0</v>
      </c>
      <c r="AI1374">
        <v>7</v>
      </c>
      <c r="AJ1374">
        <v>9</v>
      </c>
    </row>
    <row r="1375" spans="1:36"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H1375">
        <v>11</v>
      </c>
      <c r="AI1375">
        <v>0</v>
      </c>
      <c r="AJ1375">
        <v>7</v>
      </c>
    </row>
    <row r="1376" spans="1:36"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H1376">
        <v>0</v>
      </c>
      <c r="AI1376">
        <v>0</v>
      </c>
      <c r="AJ1376">
        <v>0</v>
      </c>
    </row>
    <row r="1377" spans="1:36"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H1377">
        <v>1</v>
      </c>
      <c r="AI1377">
        <v>0</v>
      </c>
      <c r="AJ1377">
        <v>3</v>
      </c>
    </row>
    <row r="1378" spans="1:36"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H1378">
        <v>2</v>
      </c>
      <c r="AI1378">
        <v>0</v>
      </c>
      <c r="AJ1378">
        <v>3</v>
      </c>
    </row>
    <row r="1379" spans="1:36"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H1379">
        <v>4</v>
      </c>
      <c r="AI1379">
        <v>4</v>
      </c>
      <c r="AJ1379">
        <v>3</v>
      </c>
    </row>
    <row r="1380" spans="1:36"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H1380">
        <v>0</v>
      </c>
      <c r="AI1380">
        <v>0</v>
      </c>
      <c r="AJ1380">
        <v>0</v>
      </c>
    </row>
    <row r="1381" spans="1:36"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H1381">
        <v>0</v>
      </c>
      <c r="AI1381">
        <v>0</v>
      </c>
      <c r="AJ1381">
        <v>0</v>
      </c>
    </row>
    <row r="1382" spans="1:36"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H1382">
        <v>3</v>
      </c>
      <c r="AI1382">
        <v>0</v>
      </c>
      <c r="AJ1382">
        <v>4</v>
      </c>
    </row>
    <row r="1383" spans="1:36"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H1383">
        <v>3</v>
      </c>
      <c r="AI1383">
        <v>1</v>
      </c>
      <c r="AJ1383">
        <v>4</v>
      </c>
    </row>
    <row r="1384" spans="1:36"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H1384">
        <v>2</v>
      </c>
      <c r="AI1384">
        <v>2</v>
      </c>
      <c r="AJ1384">
        <v>3</v>
      </c>
    </row>
    <row r="1385" spans="1:36"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H1385">
        <v>4</v>
      </c>
      <c r="AI1385">
        <v>0</v>
      </c>
      <c r="AJ1385">
        <v>2</v>
      </c>
    </row>
    <row r="1386" spans="1:36"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H1386">
        <v>8</v>
      </c>
      <c r="AI1386">
        <v>2</v>
      </c>
      <c r="AJ1386">
        <v>1</v>
      </c>
    </row>
    <row r="1387" spans="1:36"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H1387">
        <v>7</v>
      </c>
      <c r="AI1387">
        <v>1</v>
      </c>
      <c r="AJ1387">
        <v>1</v>
      </c>
    </row>
    <row r="1388" spans="1:36"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H1388">
        <v>7</v>
      </c>
      <c r="AI1388">
        <v>7</v>
      </c>
      <c r="AJ1388">
        <v>6</v>
      </c>
    </row>
    <row r="1389" spans="1:36"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H1389">
        <v>3</v>
      </c>
      <c r="AI1389">
        <v>0</v>
      </c>
      <c r="AJ1389">
        <v>2</v>
      </c>
    </row>
    <row r="1390" spans="1:36"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H1390">
        <v>1</v>
      </c>
      <c r="AI1390">
        <v>1</v>
      </c>
      <c r="AJ1390">
        <v>2</v>
      </c>
    </row>
    <row r="1391" spans="1:36"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H1391">
        <v>8</v>
      </c>
      <c r="AI1391">
        <v>8</v>
      </c>
      <c r="AJ1391">
        <v>7</v>
      </c>
    </row>
    <row r="1392" spans="1:36"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H1392">
        <v>1</v>
      </c>
      <c r="AI1392">
        <v>0</v>
      </c>
      <c r="AJ1392">
        <v>3</v>
      </c>
    </row>
    <row r="1393" spans="1:36"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H1393">
        <v>0</v>
      </c>
      <c r="AI1393">
        <v>0</v>
      </c>
      <c r="AJ1393">
        <v>0</v>
      </c>
    </row>
    <row r="1394" spans="1:36"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H1394">
        <v>8</v>
      </c>
      <c r="AI1394">
        <v>0</v>
      </c>
      <c r="AJ1394">
        <v>9</v>
      </c>
    </row>
    <row r="1395" spans="1:36"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H1395">
        <v>7</v>
      </c>
      <c r="AI1395">
        <v>0</v>
      </c>
      <c r="AJ1395">
        <v>7</v>
      </c>
    </row>
    <row r="1396" spans="1:36"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H1396">
        <v>0</v>
      </c>
      <c r="AI1396">
        <v>0</v>
      </c>
      <c r="AJ1396">
        <v>0</v>
      </c>
    </row>
    <row r="1397" spans="1:36"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H1397">
        <v>7</v>
      </c>
      <c r="AI1397">
        <v>0</v>
      </c>
      <c r="AJ1397">
        <v>8</v>
      </c>
    </row>
    <row r="1398" spans="1:36"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H1398">
        <v>2</v>
      </c>
      <c r="AI1398">
        <v>2</v>
      </c>
      <c r="AJ1398">
        <v>2</v>
      </c>
    </row>
    <row r="1399" spans="1:36"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H1399">
        <v>3</v>
      </c>
      <c r="AI1399">
        <v>2</v>
      </c>
      <c r="AJ1399">
        <v>3</v>
      </c>
    </row>
    <row r="1400" spans="1:36"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H1400">
        <v>7</v>
      </c>
      <c r="AI1400">
        <v>2</v>
      </c>
      <c r="AJ1400">
        <v>8</v>
      </c>
    </row>
    <row r="1401" spans="1:36"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H1401">
        <v>9</v>
      </c>
      <c r="AI1401">
        <v>0</v>
      </c>
      <c r="AJ1401">
        <v>9</v>
      </c>
    </row>
    <row r="1402" spans="1:36"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H1402">
        <v>2</v>
      </c>
      <c r="AI1402">
        <v>1</v>
      </c>
      <c r="AJ1402">
        <v>2</v>
      </c>
    </row>
    <row r="1403" spans="1:36"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H1403">
        <v>9</v>
      </c>
      <c r="AI1403">
        <v>1</v>
      </c>
      <c r="AJ1403">
        <v>4</v>
      </c>
    </row>
    <row r="1404" spans="1:36"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H1404">
        <v>0</v>
      </c>
      <c r="AI1404">
        <v>0</v>
      </c>
      <c r="AJ1404">
        <v>0</v>
      </c>
    </row>
    <row r="1405" spans="1:36"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H1405">
        <v>8</v>
      </c>
      <c r="AI1405">
        <v>11</v>
      </c>
      <c r="AJ1405">
        <v>10</v>
      </c>
    </row>
    <row r="1406" spans="1:36"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H1406">
        <v>9</v>
      </c>
      <c r="AI1406">
        <v>3</v>
      </c>
      <c r="AJ1406">
        <v>7</v>
      </c>
    </row>
    <row r="1407" spans="1:36"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H1407">
        <v>7</v>
      </c>
      <c r="AI1407">
        <v>4</v>
      </c>
      <c r="AJ1407">
        <v>8</v>
      </c>
    </row>
    <row r="1408" spans="1:36"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H1408">
        <v>2</v>
      </c>
      <c r="AI1408">
        <v>1</v>
      </c>
      <c r="AJ1408">
        <v>4</v>
      </c>
    </row>
    <row r="1409" spans="1:36"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H1409">
        <v>3</v>
      </c>
      <c r="AI1409">
        <v>1</v>
      </c>
      <c r="AJ1409">
        <v>2</v>
      </c>
    </row>
    <row r="1410" spans="1:36"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H1410">
        <v>2</v>
      </c>
      <c r="AI1410">
        <v>1</v>
      </c>
      <c r="AJ1410">
        <v>4</v>
      </c>
    </row>
    <row r="1411" spans="1:36"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H1411">
        <v>9</v>
      </c>
      <c r="AI1411">
        <v>9</v>
      </c>
      <c r="AJ1411">
        <v>4</v>
      </c>
    </row>
    <row r="1412" spans="1:36"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H1412">
        <v>8</v>
      </c>
      <c r="AI1412">
        <v>5</v>
      </c>
      <c r="AJ1412">
        <v>10</v>
      </c>
    </row>
    <row r="1413" spans="1:36"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H1413">
        <v>0</v>
      </c>
      <c r="AI1413">
        <v>1</v>
      </c>
      <c r="AJ1413">
        <v>2</v>
      </c>
    </row>
    <row r="1414" spans="1:36"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H1414">
        <v>8</v>
      </c>
      <c r="AI1414">
        <v>1</v>
      </c>
      <c r="AJ1414">
        <v>7</v>
      </c>
    </row>
    <row r="1415" spans="1:36"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H1415">
        <v>2</v>
      </c>
      <c r="AI1415">
        <v>0</v>
      </c>
      <c r="AJ1415">
        <v>2</v>
      </c>
    </row>
    <row r="1416" spans="1:36"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H1416">
        <v>14</v>
      </c>
      <c r="AI1416">
        <v>12</v>
      </c>
      <c r="AJ1416">
        <v>11</v>
      </c>
    </row>
    <row r="1417" spans="1:36"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H1417">
        <v>1</v>
      </c>
      <c r="AI1417">
        <v>0</v>
      </c>
      <c r="AJ1417">
        <v>0</v>
      </c>
    </row>
    <row r="1418" spans="1:36"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H1418">
        <v>13</v>
      </c>
      <c r="AI1418">
        <v>5</v>
      </c>
      <c r="AJ1418">
        <v>8</v>
      </c>
    </row>
    <row r="1419" spans="1:36"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H1419">
        <v>2</v>
      </c>
      <c r="AI1419">
        <v>1</v>
      </c>
      <c r="AJ1419">
        <v>2</v>
      </c>
    </row>
    <row r="1420" spans="1:36"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H1420">
        <v>3</v>
      </c>
      <c r="AI1420">
        <v>7</v>
      </c>
      <c r="AJ1420">
        <v>7</v>
      </c>
    </row>
    <row r="1421" spans="1:36"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H1421">
        <v>3</v>
      </c>
      <c r="AI1421">
        <v>1</v>
      </c>
      <c r="AJ1421">
        <v>2</v>
      </c>
    </row>
    <row r="1422" spans="1:36"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H1422">
        <v>3</v>
      </c>
      <c r="AI1422">
        <v>1</v>
      </c>
      <c r="AJ1422">
        <v>0</v>
      </c>
    </row>
    <row r="1423" spans="1:36"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H1423">
        <v>8</v>
      </c>
      <c r="AI1423">
        <v>5</v>
      </c>
      <c r="AJ1423">
        <v>12</v>
      </c>
    </row>
    <row r="1424" spans="1:36"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H1424">
        <v>2</v>
      </c>
      <c r="AI1424">
        <v>2</v>
      </c>
      <c r="AJ1424">
        <v>2</v>
      </c>
    </row>
    <row r="1425" spans="1:36"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H1425">
        <v>2</v>
      </c>
      <c r="AI1425">
        <v>1</v>
      </c>
      <c r="AJ1425">
        <v>2</v>
      </c>
    </row>
    <row r="1426" spans="1:36"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H1426">
        <v>7</v>
      </c>
      <c r="AI1426">
        <v>0</v>
      </c>
      <c r="AJ1426">
        <v>8</v>
      </c>
    </row>
    <row r="1427" spans="1:36"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H1427">
        <v>7</v>
      </c>
      <c r="AI1427">
        <v>8</v>
      </c>
      <c r="AJ1427">
        <v>1</v>
      </c>
    </row>
    <row r="1428" spans="1:36"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H1428">
        <v>2</v>
      </c>
      <c r="AI1428">
        <v>4</v>
      </c>
      <c r="AJ1428">
        <v>1</v>
      </c>
    </row>
    <row r="1429" spans="1:36"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H1429">
        <v>0</v>
      </c>
      <c r="AI1429">
        <v>0</v>
      </c>
      <c r="AJ1429">
        <v>0</v>
      </c>
    </row>
    <row r="1430" spans="1:36"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H1430">
        <v>2</v>
      </c>
      <c r="AI1430">
        <v>2</v>
      </c>
      <c r="AJ1430">
        <v>2</v>
      </c>
    </row>
    <row r="1431" spans="1:36"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H1431">
        <v>7</v>
      </c>
      <c r="AI1431">
        <v>1</v>
      </c>
      <c r="AJ1431">
        <v>7</v>
      </c>
    </row>
    <row r="1432" spans="1:36"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H1432">
        <v>16</v>
      </c>
      <c r="AI1432">
        <v>1</v>
      </c>
      <c r="AJ1432">
        <v>11</v>
      </c>
    </row>
    <row r="1433" spans="1:36"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H1433">
        <v>10</v>
      </c>
      <c r="AI1433">
        <v>5</v>
      </c>
      <c r="AJ1433">
        <v>7</v>
      </c>
    </row>
    <row r="1434" spans="1:36"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H1434">
        <v>11</v>
      </c>
      <c r="AI1434">
        <v>6</v>
      </c>
      <c r="AJ1434">
        <v>8</v>
      </c>
    </row>
    <row r="1435" spans="1:36"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H1435">
        <v>3</v>
      </c>
      <c r="AI1435">
        <v>0</v>
      </c>
      <c r="AJ1435">
        <v>4</v>
      </c>
    </row>
    <row r="1436" spans="1:36"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H1436">
        <v>8</v>
      </c>
      <c r="AI1436">
        <v>0</v>
      </c>
      <c r="AJ1436">
        <v>0</v>
      </c>
    </row>
    <row r="1437" spans="1:36"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H1437">
        <v>3</v>
      </c>
      <c r="AI1437">
        <v>1</v>
      </c>
      <c r="AJ1437">
        <v>2</v>
      </c>
    </row>
    <row r="1438" spans="1:36"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H1438">
        <v>2</v>
      </c>
      <c r="AI1438">
        <v>1</v>
      </c>
      <c r="AJ1438">
        <v>2</v>
      </c>
    </row>
    <row r="1439" spans="1:36"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H1439">
        <v>0</v>
      </c>
      <c r="AI1439">
        <v>1</v>
      </c>
      <c r="AJ1439">
        <v>3</v>
      </c>
    </row>
    <row r="1440" spans="1:36"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H1440">
        <v>0</v>
      </c>
      <c r="AI1440">
        <v>1</v>
      </c>
      <c r="AJ1440">
        <v>0</v>
      </c>
    </row>
    <row r="1441" spans="1:36"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H1441">
        <v>7</v>
      </c>
      <c r="AI1441">
        <v>3</v>
      </c>
      <c r="AJ1441">
        <v>4</v>
      </c>
    </row>
    <row r="1442" spans="1:36"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H1442">
        <v>2</v>
      </c>
      <c r="AI1442">
        <v>0</v>
      </c>
      <c r="AJ1442">
        <v>2</v>
      </c>
    </row>
    <row r="1443" spans="1:36"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H1443">
        <v>12</v>
      </c>
      <c r="AI1443">
        <v>1</v>
      </c>
      <c r="AJ1443">
        <v>9</v>
      </c>
    </row>
    <row r="1444" spans="1:36"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H1444">
        <v>2</v>
      </c>
      <c r="AI1444">
        <v>2</v>
      </c>
      <c r="AJ1444">
        <v>2</v>
      </c>
    </row>
    <row r="1445" spans="1:36"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H1445">
        <v>6</v>
      </c>
      <c r="AI1445">
        <v>4</v>
      </c>
      <c r="AJ1445">
        <v>14</v>
      </c>
    </row>
    <row r="1446" spans="1:36"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H1446">
        <v>9</v>
      </c>
      <c r="AI1446">
        <v>9</v>
      </c>
      <c r="AJ1446">
        <v>8</v>
      </c>
    </row>
    <row r="1447" spans="1:36"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H1447">
        <v>7</v>
      </c>
      <c r="AI1447">
        <v>0</v>
      </c>
      <c r="AJ1447">
        <v>10</v>
      </c>
    </row>
    <row r="1448" spans="1:36"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H1448">
        <v>7</v>
      </c>
      <c r="AI1448">
        <v>1</v>
      </c>
      <c r="AJ1448">
        <v>7</v>
      </c>
    </row>
    <row r="1449" spans="1:36"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H1449">
        <v>12</v>
      </c>
      <c r="AI1449">
        <v>11</v>
      </c>
      <c r="AJ1449">
        <v>11</v>
      </c>
    </row>
    <row r="1450" spans="1:36"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H1450">
        <v>4</v>
      </c>
      <c r="AI1450">
        <v>0</v>
      </c>
      <c r="AJ1450">
        <v>4</v>
      </c>
    </row>
    <row r="1451" spans="1:36"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H1451">
        <v>2</v>
      </c>
      <c r="AI1451">
        <v>1</v>
      </c>
      <c r="AJ1451">
        <v>2</v>
      </c>
    </row>
    <row r="1452" spans="1:36"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H1452">
        <v>0</v>
      </c>
      <c r="AI1452">
        <v>1</v>
      </c>
      <c r="AJ1452">
        <v>7</v>
      </c>
    </row>
    <row r="1453" spans="1:36"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H1453">
        <v>7</v>
      </c>
      <c r="AI1453">
        <v>1</v>
      </c>
      <c r="AJ1453">
        <v>9</v>
      </c>
    </row>
    <row r="1454" spans="1:36"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H1454">
        <v>3</v>
      </c>
      <c r="AI1454">
        <v>0</v>
      </c>
      <c r="AJ1454">
        <v>1</v>
      </c>
    </row>
    <row r="1455" spans="1:36"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H1455">
        <v>3</v>
      </c>
      <c r="AI1455">
        <v>0</v>
      </c>
      <c r="AJ1455">
        <v>0</v>
      </c>
    </row>
    <row r="1456" spans="1:36"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H1456">
        <v>3</v>
      </c>
      <c r="AI1456">
        <v>0</v>
      </c>
      <c r="AJ1456">
        <v>1</v>
      </c>
    </row>
    <row r="1457" spans="1:36"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H1457">
        <v>2</v>
      </c>
      <c r="AI1457">
        <v>2</v>
      </c>
      <c r="AJ1457">
        <v>2</v>
      </c>
    </row>
    <row r="1458" spans="1:36"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H1458">
        <v>2</v>
      </c>
      <c r="AI1458">
        <v>0</v>
      </c>
      <c r="AJ1458">
        <v>2</v>
      </c>
    </row>
    <row r="1459" spans="1:36"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H1459">
        <v>3</v>
      </c>
      <c r="AI1459">
        <v>0</v>
      </c>
      <c r="AJ1459">
        <v>2</v>
      </c>
    </row>
    <row r="1460" spans="1:36"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H1460">
        <v>3</v>
      </c>
      <c r="AI1460">
        <v>1</v>
      </c>
      <c r="AJ1460">
        <v>1</v>
      </c>
    </row>
    <row r="1461" spans="1:36"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H1461">
        <v>3</v>
      </c>
      <c r="AI1461">
        <v>0</v>
      </c>
      <c r="AJ1461">
        <v>3</v>
      </c>
    </row>
    <row r="1462" spans="1:36"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H1462">
        <v>4</v>
      </c>
      <c r="AI1462">
        <v>0</v>
      </c>
      <c r="AJ1462">
        <v>4</v>
      </c>
    </row>
    <row r="1463" spans="1:36"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H1463">
        <v>2</v>
      </c>
      <c r="AI1463">
        <v>2</v>
      </c>
      <c r="AJ1463">
        <v>0</v>
      </c>
    </row>
    <row r="1464" spans="1:36"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H1464">
        <v>9</v>
      </c>
      <c r="AI1464">
        <v>9</v>
      </c>
      <c r="AJ1464">
        <v>6</v>
      </c>
    </row>
    <row r="1465" spans="1:36"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H1465">
        <v>4</v>
      </c>
      <c r="AI1465">
        <v>1</v>
      </c>
      <c r="AJ1465">
        <v>7</v>
      </c>
    </row>
    <row r="1466" spans="1:36"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H1466">
        <v>2</v>
      </c>
      <c r="AI1466">
        <v>0</v>
      </c>
      <c r="AJ1466">
        <v>0</v>
      </c>
    </row>
    <row r="1467" spans="1:36"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H1467">
        <v>2</v>
      </c>
      <c r="AI1467">
        <v>0</v>
      </c>
      <c r="AJ1467">
        <v>3</v>
      </c>
    </row>
    <row r="1468" spans="1:36"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H1468">
        <v>7</v>
      </c>
      <c r="AI1468">
        <v>1</v>
      </c>
      <c r="AJ1468">
        <v>7</v>
      </c>
    </row>
    <row r="1469" spans="1:36"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H1469">
        <v>2</v>
      </c>
      <c r="AI1469">
        <v>0</v>
      </c>
      <c r="AJ1469">
        <v>3</v>
      </c>
    </row>
    <row r="1470" spans="1:36"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H1470">
        <v>6</v>
      </c>
      <c r="AI1470">
        <v>0</v>
      </c>
      <c r="AJ1470">
        <v>8</v>
      </c>
    </row>
    <row r="1471" spans="1:36"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8026-0754-4E20-ACBE-B6C79A421502}">
  <dimension ref="A3:AM105"/>
  <sheetViews>
    <sheetView workbookViewId="0">
      <selection activeCell="B13" sqref="B13"/>
    </sheetView>
  </sheetViews>
  <sheetFormatPr defaultRowHeight="14.5" x14ac:dyDescent="0.35"/>
  <cols>
    <col min="1" max="1" width="23.81640625" bestFit="1" customWidth="1"/>
    <col min="2" max="2" width="10.26953125" bestFit="1" customWidth="1"/>
    <col min="3" max="7" width="3.81640625" bestFit="1" customWidth="1"/>
    <col min="8" max="11" width="2.81640625" bestFit="1" customWidth="1"/>
    <col min="12" max="12" width="3.81640625" bestFit="1" customWidth="1"/>
    <col min="13" max="38" width="2.81640625" bestFit="1" customWidth="1"/>
    <col min="39" max="39" width="10.7265625" bestFit="1" customWidth="1"/>
  </cols>
  <sheetData>
    <row r="3" spans="1:4" x14ac:dyDescent="0.35">
      <c r="A3" s="1" t="s">
        <v>1</v>
      </c>
      <c r="B3" t="s">
        <v>64</v>
      </c>
    </row>
    <row r="4" spans="1:4" x14ac:dyDescent="0.35">
      <c r="A4" s="2" t="s">
        <v>43</v>
      </c>
      <c r="B4" s="3">
        <v>1233</v>
      </c>
    </row>
    <row r="5" spans="1:4" x14ac:dyDescent="0.35">
      <c r="A5" s="2" t="s">
        <v>35</v>
      </c>
      <c r="B5" s="3">
        <v>237</v>
      </c>
      <c r="D5" s="6">
        <f>B5/B6</f>
        <v>0.16122448979591836</v>
      </c>
    </row>
    <row r="6" spans="1:4" x14ac:dyDescent="0.35">
      <c r="A6" s="2" t="s">
        <v>63</v>
      </c>
      <c r="B6" s="3">
        <v>1470</v>
      </c>
    </row>
    <row r="10" spans="1:4" x14ac:dyDescent="0.35">
      <c r="A10" s="1" t="s">
        <v>64</v>
      </c>
      <c r="B10" s="1" t="s">
        <v>1</v>
      </c>
    </row>
    <row r="11" spans="1:4" x14ac:dyDescent="0.35">
      <c r="A11" s="1" t="s">
        <v>4</v>
      </c>
      <c r="B11" t="s">
        <v>43</v>
      </c>
      <c r="C11" t="s">
        <v>35</v>
      </c>
      <c r="D11" t="s">
        <v>63</v>
      </c>
    </row>
    <row r="12" spans="1:4" x14ac:dyDescent="0.35">
      <c r="A12" s="2" t="s">
        <v>61</v>
      </c>
      <c r="B12" s="3">
        <v>51</v>
      </c>
      <c r="C12" s="3">
        <v>12</v>
      </c>
      <c r="D12" s="3">
        <v>63</v>
      </c>
    </row>
    <row r="13" spans="1:4" x14ac:dyDescent="0.35">
      <c r="A13" s="2" t="s">
        <v>45</v>
      </c>
      <c r="B13" s="3">
        <v>828</v>
      </c>
      <c r="C13" s="3">
        <v>133</v>
      </c>
      <c r="D13" s="3">
        <v>961</v>
      </c>
    </row>
    <row r="14" spans="1:4" x14ac:dyDescent="0.35">
      <c r="A14" s="2" t="s">
        <v>37</v>
      </c>
      <c r="B14" s="3">
        <v>354</v>
      </c>
      <c r="C14" s="3">
        <v>92</v>
      </c>
      <c r="D14" s="3">
        <v>446</v>
      </c>
    </row>
    <row r="15" spans="1:4" x14ac:dyDescent="0.35">
      <c r="A15" s="2" t="s">
        <v>63</v>
      </c>
      <c r="B15" s="3">
        <v>1233</v>
      </c>
      <c r="C15" s="3">
        <v>237</v>
      </c>
      <c r="D15" s="3">
        <v>1470</v>
      </c>
    </row>
    <row r="19" spans="1:4" x14ac:dyDescent="0.35">
      <c r="A19" s="1" t="s">
        <v>64</v>
      </c>
      <c r="B19" s="1" t="s">
        <v>1</v>
      </c>
    </row>
    <row r="20" spans="1:4" x14ac:dyDescent="0.35">
      <c r="A20" s="1" t="s">
        <v>65</v>
      </c>
      <c r="B20" t="s">
        <v>43</v>
      </c>
      <c r="C20" t="s">
        <v>35</v>
      </c>
      <c r="D20" t="s">
        <v>63</v>
      </c>
    </row>
    <row r="21" spans="1:4" x14ac:dyDescent="0.35">
      <c r="A21" s="2" t="s">
        <v>54</v>
      </c>
      <c r="B21" s="3">
        <v>122</v>
      </c>
      <c r="C21" s="3">
        <v>9</v>
      </c>
      <c r="D21" s="3">
        <v>131</v>
      </c>
    </row>
    <row r="22" spans="1:4" x14ac:dyDescent="0.35">
      <c r="A22" s="2" t="s">
        <v>61</v>
      </c>
      <c r="B22" s="3">
        <v>40</v>
      </c>
      <c r="C22" s="3">
        <v>12</v>
      </c>
      <c r="D22" s="3">
        <v>52</v>
      </c>
    </row>
    <row r="23" spans="1:4" x14ac:dyDescent="0.35">
      <c r="A23" s="2" t="s">
        <v>50</v>
      </c>
      <c r="B23" s="3">
        <v>197</v>
      </c>
      <c r="C23" s="3">
        <v>62</v>
      </c>
      <c r="D23" s="3">
        <v>259</v>
      </c>
    </row>
    <row r="24" spans="1:4" x14ac:dyDescent="0.35">
      <c r="A24" s="2" t="s">
        <v>56</v>
      </c>
      <c r="B24" s="3">
        <v>97</v>
      </c>
      <c r="C24" s="3">
        <v>5</v>
      </c>
      <c r="D24" s="3">
        <v>102</v>
      </c>
    </row>
    <row r="25" spans="1:4" x14ac:dyDescent="0.35">
      <c r="A25" s="2" t="s">
        <v>53</v>
      </c>
      <c r="B25" s="3">
        <v>135</v>
      </c>
      <c r="C25" s="3">
        <v>10</v>
      </c>
      <c r="D25" s="3">
        <v>145</v>
      </c>
    </row>
    <row r="26" spans="1:4" x14ac:dyDescent="0.35">
      <c r="A26" s="2" t="s">
        <v>58</v>
      </c>
      <c r="B26" s="3">
        <v>78</v>
      </c>
      <c r="C26" s="3">
        <v>2</v>
      </c>
      <c r="D26" s="3">
        <v>80</v>
      </c>
    </row>
    <row r="27" spans="1:4" x14ac:dyDescent="0.35">
      <c r="A27" s="2" t="s">
        <v>47</v>
      </c>
      <c r="B27" s="3">
        <v>245</v>
      </c>
      <c r="C27" s="3">
        <v>47</v>
      </c>
      <c r="D27" s="3">
        <v>292</v>
      </c>
    </row>
    <row r="28" spans="1:4" x14ac:dyDescent="0.35">
      <c r="A28" s="2" t="s">
        <v>40</v>
      </c>
      <c r="B28" s="3">
        <v>269</v>
      </c>
      <c r="C28" s="3">
        <v>57</v>
      </c>
      <c r="D28" s="3">
        <v>326</v>
      </c>
    </row>
    <row r="29" spans="1:4" x14ac:dyDescent="0.35">
      <c r="A29" s="2" t="s">
        <v>57</v>
      </c>
      <c r="B29" s="3">
        <v>50</v>
      </c>
      <c r="C29" s="3">
        <v>33</v>
      </c>
      <c r="D29" s="3">
        <v>83</v>
      </c>
    </row>
    <row r="30" spans="1:4" x14ac:dyDescent="0.35">
      <c r="A30" s="2" t="s">
        <v>63</v>
      </c>
      <c r="B30" s="3">
        <v>1233</v>
      </c>
      <c r="C30" s="3">
        <v>237</v>
      </c>
      <c r="D30" s="3">
        <v>1470</v>
      </c>
    </row>
    <row r="34" spans="1:4" x14ac:dyDescent="0.35">
      <c r="A34" s="1" t="s">
        <v>64</v>
      </c>
      <c r="B34" s="1" t="s">
        <v>1</v>
      </c>
    </row>
    <row r="35" spans="1:4" x14ac:dyDescent="0.35">
      <c r="A35" s="1" t="s">
        <v>66</v>
      </c>
      <c r="B35" t="s">
        <v>43</v>
      </c>
      <c r="C35" t="s">
        <v>35</v>
      </c>
      <c r="D35" t="s">
        <v>63</v>
      </c>
    </row>
    <row r="36" spans="1:4" x14ac:dyDescent="0.35">
      <c r="A36" s="2" t="s">
        <v>55</v>
      </c>
      <c r="B36" s="3">
        <v>138</v>
      </c>
      <c r="C36" s="3">
        <v>12</v>
      </c>
      <c r="D36" s="3">
        <v>150</v>
      </c>
    </row>
    <row r="37" spans="1:4" x14ac:dyDescent="0.35">
      <c r="A37" s="2" t="s">
        <v>44</v>
      </c>
      <c r="B37" s="3">
        <v>208</v>
      </c>
      <c r="C37" s="3">
        <v>69</v>
      </c>
      <c r="D37" s="3">
        <v>277</v>
      </c>
    </row>
    <row r="38" spans="1:4" x14ac:dyDescent="0.35">
      <c r="A38" s="2" t="s">
        <v>36</v>
      </c>
      <c r="B38" s="3">
        <v>887</v>
      </c>
      <c r="C38" s="3">
        <v>156</v>
      </c>
      <c r="D38" s="3">
        <v>1043</v>
      </c>
    </row>
    <row r="39" spans="1:4" x14ac:dyDescent="0.35">
      <c r="A39" s="2" t="s">
        <v>63</v>
      </c>
      <c r="B39" s="3">
        <v>1233</v>
      </c>
      <c r="C39" s="3">
        <v>237</v>
      </c>
      <c r="D39" s="3">
        <v>1470</v>
      </c>
    </row>
    <row r="43" spans="1:4" x14ac:dyDescent="0.35">
      <c r="A43" s="1" t="s">
        <v>64</v>
      </c>
      <c r="B43" s="1" t="s">
        <v>1</v>
      </c>
    </row>
    <row r="44" spans="1:4" x14ac:dyDescent="0.35">
      <c r="A44" s="1" t="s">
        <v>67</v>
      </c>
      <c r="B44" t="s">
        <v>43</v>
      </c>
      <c r="C44" t="s">
        <v>35</v>
      </c>
      <c r="D44" t="s">
        <v>63</v>
      </c>
    </row>
    <row r="45" spans="1:4" x14ac:dyDescent="0.35">
      <c r="A45" s="2" t="s">
        <v>43</v>
      </c>
      <c r="B45" s="3">
        <v>944</v>
      </c>
      <c r="C45" s="3">
        <v>110</v>
      </c>
      <c r="D45" s="3">
        <v>1054</v>
      </c>
    </row>
    <row r="46" spans="1:4" x14ac:dyDescent="0.35">
      <c r="A46" s="2" t="s">
        <v>35</v>
      </c>
      <c r="B46" s="3">
        <v>289</v>
      </c>
      <c r="C46" s="3">
        <v>127</v>
      </c>
      <c r="D46" s="3">
        <v>416</v>
      </c>
    </row>
    <row r="47" spans="1:4" x14ac:dyDescent="0.35">
      <c r="A47" s="2" t="s">
        <v>63</v>
      </c>
      <c r="B47" s="3">
        <v>1233</v>
      </c>
      <c r="C47" s="3">
        <v>237</v>
      </c>
      <c r="D47" s="3">
        <v>1470</v>
      </c>
    </row>
    <row r="51" spans="1:4" x14ac:dyDescent="0.35">
      <c r="A51" s="1" t="s">
        <v>64</v>
      </c>
      <c r="B51" s="1" t="s">
        <v>1</v>
      </c>
    </row>
    <row r="52" spans="1:4" x14ac:dyDescent="0.35">
      <c r="A52" s="1" t="s">
        <v>68</v>
      </c>
      <c r="B52" t="s">
        <v>43</v>
      </c>
      <c r="C52" t="s">
        <v>35</v>
      </c>
      <c r="D52" t="s">
        <v>63</v>
      </c>
    </row>
    <row r="53" spans="1:4" x14ac:dyDescent="0.35">
      <c r="A53" s="2" t="s">
        <v>52</v>
      </c>
      <c r="B53" s="3">
        <v>294</v>
      </c>
      <c r="C53" s="3">
        <v>33</v>
      </c>
      <c r="D53" s="3">
        <v>327</v>
      </c>
    </row>
    <row r="54" spans="1:4" x14ac:dyDescent="0.35">
      <c r="A54" s="2" t="s">
        <v>48</v>
      </c>
      <c r="B54" s="3">
        <v>589</v>
      </c>
      <c r="C54" s="3">
        <v>84</v>
      </c>
      <c r="D54" s="3">
        <v>673</v>
      </c>
    </row>
    <row r="55" spans="1:4" x14ac:dyDescent="0.35">
      <c r="A55" s="2" t="s">
        <v>41</v>
      </c>
      <c r="B55" s="3">
        <v>350</v>
      </c>
      <c r="C55" s="3">
        <v>120</v>
      </c>
      <c r="D55" s="3">
        <v>470</v>
      </c>
    </row>
    <row r="56" spans="1:4" x14ac:dyDescent="0.35">
      <c r="A56" s="2" t="s">
        <v>63</v>
      </c>
      <c r="B56" s="3">
        <v>1233</v>
      </c>
      <c r="C56" s="3">
        <v>237</v>
      </c>
      <c r="D56" s="3">
        <v>1470</v>
      </c>
    </row>
    <row r="60" spans="1:4" x14ac:dyDescent="0.35">
      <c r="A60" s="1" t="s">
        <v>64</v>
      </c>
      <c r="B60" s="1" t="s">
        <v>1</v>
      </c>
    </row>
    <row r="61" spans="1:4" x14ac:dyDescent="0.35">
      <c r="A61" s="1" t="s">
        <v>69</v>
      </c>
      <c r="B61" t="s">
        <v>43</v>
      </c>
      <c r="C61" t="s">
        <v>35</v>
      </c>
      <c r="D61" t="s">
        <v>63</v>
      </c>
    </row>
    <row r="62" spans="1:4" x14ac:dyDescent="0.35">
      <c r="A62" s="2" t="s">
        <v>61</v>
      </c>
      <c r="B62" s="3">
        <v>20</v>
      </c>
      <c r="C62" s="3">
        <v>7</v>
      </c>
      <c r="D62" s="3">
        <v>27</v>
      </c>
    </row>
    <row r="63" spans="1:4" x14ac:dyDescent="0.35">
      <c r="A63" s="2" t="s">
        <v>38</v>
      </c>
      <c r="B63" s="3">
        <v>517</v>
      </c>
      <c r="C63" s="3">
        <v>89</v>
      </c>
      <c r="D63" s="3">
        <v>606</v>
      </c>
    </row>
    <row r="64" spans="1:4" x14ac:dyDescent="0.35">
      <c r="A64" s="2" t="s">
        <v>59</v>
      </c>
      <c r="B64" s="3">
        <v>124</v>
      </c>
      <c r="C64" s="3">
        <v>35</v>
      </c>
      <c r="D64" s="3">
        <v>159</v>
      </c>
    </row>
    <row r="65" spans="1:4" x14ac:dyDescent="0.35">
      <c r="A65" s="2" t="s">
        <v>51</v>
      </c>
      <c r="B65" s="3">
        <v>401</v>
      </c>
      <c r="C65" s="3">
        <v>63</v>
      </c>
      <c r="D65" s="3">
        <v>464</v>
      </c>
    </row>
    <row r="66" spans="1:4" x14ac:dyDescent="0.35">
      <c r="A66" s="2" t="s">
        <v>49</v>
      </c>
      <c r="B66" s="3">
        <v>71</v>
      </c>
      <c r="C66" s="3">
        <v>11</v>
      </c>
      <c r="D66" s="3">
        <v>82</v>
      </c>
    </row>
    <row r="67" spans="1:4" x14ac:dyDescent="0.35">
      <c r="A67" s="2" t="s">
        <v>60</v>
      </c>
      <c r="B67" s="3">
        <v>100</v>
      </c>
      <c r="C67" s="3">
        <v>32</v>
      </c>
      <c r="D67" s="3">
        <v>132</v>
      </c>
    </row>
    <row r="68" spans="1:4" x14ac:dyDescent="0.35">
      <c r="A68" s="2" t="s">
        <v>63</v>
      </c>
      <c r="B68" s="3">
        <v>1233</v>
      </c>
      <c r="C68" s="3">
        <v>237</v>
      </c>
      <c r="D68" s="3">
        <v>1470</v>
      </c>
    </row>
    <row r="72" spans="1:4" x14ac:dyDescent="0.35">
      <c r="A72" s="1" t="s">
        <v>64</v>
      </c>
      <c r="B72" s="1" t="s">
        <v>1</v>
      </c>
    </row>
    <row r="73" spans="1:4" x14ac:dyDescent="0.35">
      <c r="A73" s="1" t="s">
        <v>11</v>
      </c>
      <c r="B73" t="s">
        <v>43</v>
      </c>
      <c r="C73" t="s">
        <v>35</v>
      </c>
      <c r="D73" t="s">
        <v>63</v>
      </c>
    </row>
    <row r="74" spans="1:4" x14ac:dyDescent="0.35">
      <c r="A74" s="2" t="s">
        <v>39</v>
      </c>
      <c r="B74" s="3">
        <v>501</v>
      </c>
      <c r="C74" s="3">
        <v>87</v>
      </c>
      <c r="D74" s="3">
        <v>588</v>
      </c>
    </row>
    <row r="75" spans="1:4" x14ac:dyDescent="0.35">
      <c r="A75" s="2" t="s">
        <v>46</v>
      </c>
      <c r="B75" s="3">
        <v>732</v>
      </c>
      <c r="C75" s="3">
        <v>150</v>
      </c>
      <c r="D75" s="3">
        <v>882</v>
      </c>
    </row>
    <row r="76" spans="1:4" x14ac:dyDescent="0.35">
      <c r="A76" s="2" t="s">
        <v>63</v>
      </c>
      <c r="B76" s="3">
        <v>1233</v>
      </c>
      <c r="C76" s="3">
        <v>237</v>
      </c>
      <c r="D76" s="3">
        <v>1470</v>
      </c>
    </row>
    <row r="80" spans="1:4" x14ac:dyDescent="0.35">
      <c r="A80" s="1" t="s">
        <v>64</v>
      </c>
      <c r="B80" s="1" t="s">
        <v>1</v>
      </c>
    </row>
    <row r="81" spans="1:39" x14ac:dyDescent="0.35">
      <c r="A81" s="1" t="s">
        <v>71</v>
      </c>
      <c r="B81">
        <v>0</v>
      </c>
      <c r="C81">
        <v>1</v>
      </c>
      <c r="D81">
        <v>2</v>
      </c>
      <c r="E81">
        <v>3</v>
      </c>
      <c r="F81">
        <v>4</v>
      </c>
      <c r="G81">
        <v>5</v>
      </c>
      <c r="H81">
        <v>6</v>
      </c>
      <c r="I81">
        <v>7</v>
      </c>
      <c r="J81">
        <v>8</v>
      </c>
      <c r="K81">
        <v>9</v>
      </c>
      <c r="L81">
        <v>10</v>
      </c>
      <c r="M81">
        <v>11</v>
      </c>
      <c r="N81">
        <v>12</v>
      </c>
      <c r="O81">
        <v>13</v>
      </c>
      <c r="P81">
        <v>14</v>
      </c>
      <c r="Q81">
        <v>15</v>
      </c>
      <c r="R81">
        <v>16</v>
      </c>
      <c r="S81">
        <v>17</v>
      </c>
      <c r="T81">
        <v>18</v>
      </c>
      <c r="U81">
        <v>19</v>
      </c>
      <c r="V81">
        <v>20</v>
      </c>
      <c r="W81">
        <v>21</v>
      </c>
      <c r="X81">
        <v>22</v>
      </c>
      <c r="Y81">
        <v>23</v>
      </c>
      <c r="Z81">
        <v>24</v>
      </c>
      <c r="AA81">
        <v>25</v>
      </c>
      <c r="AB81">
        <v>26</v>
      </c>
      <c r="AC81">
        <v>27</v>
      </c>
      <c r="AD81">
        <v>29</v>
      </c>
      <c r="AE81">
        <v>30</v>
      </c>
      <c r="AF81">
        <v>31</v>
      </c>
      <c r="AG81">
        <v>32</v>
      </c>
      <c r="AH81">
        <v>33</v>
      </c>
      <c r="AI81">
        <v>34</v>
      </c>
      <c r="AJ81">
        <v>36</v>
      </c>
      <c r="AK81">
        <v>37</v>
      </c>
      <c r="AL81">
        <v>40</v>
      </c>
      <c r="AM81" t="s">
        <v>63</v>
      </c>
    </row>
    <row r="82" spans="1:39" x14ac:dyDescent="0.35">
      <c r="A82" s="2" t="s">
        <v>43</v>
      </c>
      <c r="B82" s="3">
        <v>28</v>
      </c>
      <c r="C82" s="3">
        <v>112</v>
      </c>
      <c r="D82" s="3">
        <v>100</v>
      </c>
      <c r="E82" s="3">
        <v>108</v>
      </c>
      <c r="F82" s="3">
        <v>91</v>
      </c>
      <c r="G82" s="3">
        <v>175</v>
      </c>
      <c r="H82" s="3">
        <v>67</v>
      </c>
      <c r="I82" s="3">
        <v>79</v>
      </c>
      <c r="J82" s="3">
        <v>71</v>
      </c>
      <c r="K82" s="3">
        <v>74</v>
      </c>
      <c r="L82" s="3">
        <v>102</v>
      </c>
      <c r="M82" s="3">
        <v>30</v>
      </c>
      <c r="N82" s="3">
        <v>14</v>
      </c>
      <c r="O82" s="3">
        <v>22</v>
      </c>
      <c r="P82" s="3">
        <v>16</v>
      </c>
      <c r="Q82" s="3">
        <v>19</v>
      </c>
      <c r="R82" s="3">
        <v>11</v>
      </c>
      <c r="S82" s="3">
        <v>8</v>
      </c>
      <c r="T82" s="3">
        <v>12</v>
      </c>
      <c r="U82" s="3">
        <v>10</v>
      </c>
      <c r="V82" s="3">
        <v>26</v>
      </c>
      <c r="W82" s="3">
        <v>13</v>
      </c>
      <c r="X82" s="3">
        <v>14</v>
      </c>
      <c r="Y82" s="3">
        <v>1</v>
      </c>
      <c r="Z82" s="3">
        <v>5</v>
      </c>
      <c r="AA82" s="3">
        <v>4</v>
      </c>
      <c r="AB82" s="3">
        <v>4</v>
      </c>
      <c r="AC82" s="3">
        <v>2</v>
      </c>
      <c r="AD82" s="3">
        <v>2</v>
      </c>
      <c r="AE82" s="3">
        <v>1</v>
      </c>
      <c r="AF82" s="3">
        <v>2</v>
      </c>
      <c r="AG82" s="3">
        <v>2</v>
      </c>
      <c r="AH82" s="3">
        <v>4</v>
      </c>
      <c r="AI82" s="3">
        <v>1</v>
      </c>
      <c r="AJ82" s="3">
        <v>2</v>
      </c>
      <c r="AK82" s="3">
        <v>1</v>
      </c>
      <c r="AL82" s="3"/>
      <c r="AM82" s="3">
        <v>1233</v>
      </c>
    </row>
    <row r="83" spans="1:39" x14ac:dyDescent="0.35">
      <c r="A83" s="2" t="s">
        <v>35</v>
      </c>
      <c r="B83" s="3">
        <v>16</v>
      </c>
      <c r="C83" s="3">
        <v>59</v>
      </c>
      <c r="D83" s="3">
        <v>27</v>
      </c>
      <c r="E83" s="3">
        <v>20</v>
      </c>
      <c r="F83" s="3">
        <v>19</v>
      </c>
      <c r="G83" s="3">
        <v>21</v>
      </c>
      <c r="H83" s="3">
        <v>9</v>
      </c>
      <c r="I83" s="3">
        <v>11</v>
      </c>
      <c r="J83" s="3">
        <v>9</v>
      </c>
      <c r="K83" s="3">
        <v>8</v>
      </c>
      <c r="L83" s="3">
        <v>18</v>
      </c>
      <c r="M83" s="3">
        <v>2</v>
      </c>
      <c r="N83" s="3"/>
      <c r="O83" s="3">
        <v>2</v>
      </c>
      <c r="P83" s="3">
        <v>2</v>
      </c>
      <c r="Q83" s="3">
        <v>1</v>
      </c>
      <c r="R83" s="3">
        <v>1</v>
      </c>
      <c r="S83" s="3">
        <v>1</v>
      </c>
      <c r="T83" s="3">
        <v>1</v>
      </c>
      <c r="U83" s="3">
        <v>1</v>
      </c>
      <c r="V83" s="3">
        <v>1</v>
      </c>
      <c r="W83" s="3">
        <v>1</v>
      </c>
      <c r="X83" s="3">
        <v>1</v>
      </c>
      <c r="Y83" s="3">
        <v>1</v>
      </c>
      <c r="Z83" s="3">
        <v>1</v>
      </c>
      <c r="AA83" s="3"/>
      <c r="AB83" s="3"/>
      <c r="AC83" s="3"/>
      <c r="AD83" s="3"/>
      <c r="AE83" s="3"/>
      <c r="AF83" s="3">
        <v>1</v>
      </c>
      <c r="AG83" s="3">
        <v>1</v>
      </c>
      <c r="AH83" s="3">
        <v>1</v>
      </c>
      <c r="AI83" s="3"/>
      <c r="AJ83" s="3"/>
      <c r="AK83" s="3"/>
      <c r="AL83" s="3">
        <v>1</v>
      </c>
      <c r="AM83" s="3">
        <v>237</v>
      </c>
    </row>
    <row r="84" spans="1:39" x14ac:dyDescent="0.35">
      <c r="A84" s="2" t="s">
        <v>63</v>
      </c>
      <c r="B84" s="3">
        <v>44</v>
      </c>
      <c r="C84" s="3">
        <v>171</v>
      </c>
      <c r="D84" s="3">
        <v>127</v>
      </c>
      <c r="E84" s="3">
        <v>128</v>
      </c>
      <c r="F84" s="3">
        <v>110</v>
      </c>
      <c r="G84" s="3">
        <v>196</v>
      </c>
      <c r="H84" s="3">
        <v>76</v>
      </c>
      <c r="I84" s="3">
        <v>90</v>
      </c>
      <c r="J84" s="3">
        <v>80</v>
      </c>
      <c r="K84" s="3">
        <v>82</v>
      </c>
      <c r="L84" s="3">
        <v>120</v>
      </c>
      <c r="M84" s="3">
        <v>32</v>
      </c>
      <c r="N84" s="3">
        <v>14</v>
      </c>
      <c r="O84" s="3">
        <v>24</v>
      </c>
      <c r="P84" s="3">
        <v>18</v>
      </c>
      <c r="Q84" s="3">
        <v>20</v>
      </c>
      <c r="R84" s="3">
        <v>12</v>
      </c>
      <c r="S84" s="3">
        <v>9</v>
      </c>
      <c r="T84" s="3">
        <v>13</v>
      </c>
      <c r="U84" s="3">
        <v>11</v>
      </c>
      <c r="V84" s="3">
        <v>27</v>
      </c>
      <c r="W84" s="3">
        <v>14</v>
      </c>
      <c r="X84" s="3">
        <v>15</v>
      </c>
      <c r="Y84" s="3">
        <v>2</v>
      </c>
      <c r="Z84" s="3">
        <v>6</v>
      </c>
      <c r="AA84" s="3">
        <v>4</v>
      </c>
      <c r="AB84" s="3">
        <v>4</v>
      </c>
      <c r="AC84" s="3">
        <v>2</v>
      </c>
      <c r="AD84" s="3">
        <v>2</v>
      </c>
      <c r="AE84" s="3">
        <v>1</v>
      </c>
      <c r="AF84" s="3">
        <v>3</v>
      </c>
      <c r="AG84" s="3">
        <v>3</v>
      </c>
      <c r="AH84" s="3">
        <v>5</v>
      </c>
      <c r="AI84" s="3">
        <v>1</v>
      </c>
      <c r="AJ84" s="3">
        <v>2</v>
      </c>
      <c r="AK84" s="3">
        <v>1</v>
      </c>
      <c r="AL84" s="3">
        <v>1</v>
      </c>
      <c r="AM84" s="3">
        <v>1470</v>
      </c>
    </row>
    <row r="88" spans="1:39" x14ac:dyDescent="0.35">
      <c r="A88" s="1" t="s">
        <v>1</v>
      </c>
      <c r="B88" t="s">
        <v>70</v>
      </c>
    </row>
    <row r="89" spans="1:39" x14ac:dyDescent="0.35">
      <c r="A89" s="2" t="s">
        <v>43</v>
      </c>
      <c r="B89" s="3">
        <v>6832.7396593673966</v>
      </c>
    </row>
    <row r="90" spans="1:39" x14ac:dyDescent="0.35">
      <c r="A90" s="2" t="s">
        <v>35</v>
      </c>
      <c r="B90" s="3">
        <v>4787.0928270042195</v>
      </c>
    </row>
    <row r="91" spans="1:39" x14ac:dyDescent="0.35">
      <c r="A91" s="2" t="s">
        <v>63</v>
      </c>
      <c r="B91" s="3">
        <v>6502.931292517007</v>
      </c>
    </row>
    <row r="95" spans="1:39" x14ac:dyDescent="0.35">
      <c r="A95" s="1" t="s">
        <v>1</v>
      </c>
      <c r="B95" t="s">
        <v>72</v>
      </c>
    </row>
    <row r="96" spans="1:39" x14ac:dyDescent="0.35">
      <c r="A96" s="2" t="s">
        <v>43</v>
      </c>
      <c r="B96" s="4">
        <v>37.561232765612324</v>
      </c>
      <c r="C96" s="4"/>
    </row>
    <row r="97" spans="1:3" x14ac:dyDescent="0.35">
      <c r="A97" s="2" t="s">
        <v>35</v>
      </c>
      <c r="B97" s="4">
        <v>33.607594936708864</v>
      </c>
      <c r="C97" s="4"/>
    </row>
    <row r="98" spans="1:3" x14ac:dyDescent="0.35">
      <c r="A98" s="2" t="s">
        <v>63</v>
      </c>
      <c r="B98" s="4">
        <v>36.923809523809524</v>
      </c>
      <c r="C98" s="4"/>
    </row>
    <row r="102" spans="1:3" x14ac:dyDescent="0.35">
      <c r="A102" s="1" t="s">
        <v>1</v>
      </c>
      <c r="B102" t="s">
        <v>73</v>
      </c>
    </row>
    <row r="103" spans="1:3" x14ac:dyDescent="0.35">
      <c r="A103" s="2" t="s">
        <v>43</v>
      </c>
      <c r="B103" s="4">
        <v>7.3690186536901869</v>
      </c>
    </row>
    <row r="104" spans="1:3" x14ac:dyDescent="0.35">
      <c r="A104" s="2" t="s">
        <v>35</v>
      </c>
      <c r="B104" s="4">
        <v>5.1308016877637135</v>
      </c>
    </row>
    <row r="105" spans="1:3" x14ac:dyDescent="0.35">
      <c r="A105" s="2" t="s">
        <v>63</v>
      </c>
      <c r="B105" s="4">
        <v>7.0081632653061225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C779-91D9-4EE9-8BF3-FF68D26119CE}">
  <dimension ref="A1:Q40"/>
  <sheetViews>
    <sheetView showGridLines="0" zoomScale="66" zoomScaleNormal="66" workbookViewId="0">
      <selection activeCell="P11" sqref="P11"/>
    </sheetView>
  </sheetViews>
  <sheetFormatPr defaultRowHeight="14.5" x14ac:dyDescent="0.35"/>
  <cols>
    <col min="1" max="17" width="12.6328125" customWidth="1"/>
  </cols>
  <sheetData>
    <row r="1" spans="1:17" ht="22" customHeight="1" x14ac:dyDescent="0.35">
      <c r="A1" s="5" t="s">
        <v>74</v>
      </c>
      <c r="B1" s="5"/>
      <c r="C1" s="5"/>
      <c r="D1" s="5"/>
      <c r="E1" s="5"/>
      <c r="F1" s="5"/>
      <c r="G1" s="5"/>
      <c r="H1" s="5"/>
      <c r="I1" s="5"/>
      <c r="J1" s="5"/>
      <c r="K1" s="5"/>
      <c r="L1" s="5"/>
      <c r="M1" s="5"/>
      <c r="N1" s="5"/>
      <c r="O1" s="5"/>
      <c r="P1" s="5"/>
      <c r="Q1" s="5"/>
    </row>
    <row r="2" spans="1:17" ht="22" customHeight="1" x14ac:dyDescent="0.35">
      <c r="A2" s="5"/>
      <c r="B2" s="5"/>
      <c r="C2" s="5"/>
      <c r="D2" s="5"/>
      <c r="E2" s="5"/>
      <c r="F2" s="5"/>
      <c r="G2" s="5"/>
      <c r="H2" s="5"/>
      <c r="I2" s="5"/>
      <c r="J2" s="5"/>
      <c r="K2" s="5"/>
      <c r="L2" s="5"/>
      <c r="M2" s="5"/>
      <c r="N2" s="5"/>
      <c r="O2" s="5"/>
      <c r="P2" s="5"/>
      <c r="Q2" s="5"/>
    </row>
    <row r="3" spans="1:17" ht="22" customHeight="1" x14ac:dyDescent="0.35"/>
    <row r="4" spans="1:17" ht="22" customHeight="1" x14ac:dyDescent="0.35">
      <c r="B4" s="7" t="s">
        <v>75</v>
      </c>
      <c r="C4" s="7"/>
      <c r="D4" s="7"/>
      <c r="F4" s="7" t="s">
        <v>76</v>
      </c>
      <c r="G4" s="7"/>
      <c r="H4" s="7"/>
      <c r="J4" s="7" t="s">
        <v>77</v>
      </c>
      <c r="K4" s="7"/>
      <c r="L4" s="7"/>
      <c r="N4" s="7" t="s">
        <v>78</v>
      </c>
      <c r="O4" s="7"/>
      <c r="P4" s="7"/>
    </row>
    <row r="5" spans="1:17" ht="22" customHeight="1" x14ac:dyDescent="0.35">
      <c r="B5" s="7"/>
      <c r="C5" s="7"/>
      <c r="D5" s="7"/>
      <c r="F5" s="7"/>
      <c r="G5" s="7"/>
      <c r="H5" s="7"/>
      <c r="J5" s="7"/>
      <c r="K5" s="7"/>
      <c r="L5" s="7"/>
      <c r="N5" s="7"/>
      <c r="O5" s="7"/>
      <c r="P5" s="7"/>
    </row>
    <row r="6" spans="1:17" ht="22" customHeight="1" x14ac:dyDescent="0.35">
      <c r="B6" s="8">
        <f>GETPIVOTDATA("EmployeeNumber",'PIVOT TABLES'!$A$3)</f>
        <v>1470</v>
      </c>
      <c r="C6" s="8"/>
      <c r="D6" s="8"/>
      <c r="F6" s="8">
        <f>GETPIVOTDATA("EmployeeNumber",'PIVOT TABLES'!$A$10,"Attrition","Yes")</f>
        <v>237</v>
      </c>
      <c r="G6" s="8"/>
      <c r="H6" s="8"/>
      <c r="J6" s="10">
        <f>'PIVOT TABLES'!D5</f>
        <v>0.16122448979591836</v>
      </c>
      <c r="K6" s="8"/>
      <c r="L6" s="8"/>
      <c r="N6" s="11">
        <f>GETPIVOTDATA("Age",'PIVOT TABLES'!$A$95)</f>
        <v>36.923809523809524</v>
      </c>
      <c r="O6" s="11"/>
      <c r="P6" s="11"/>
    </row>
    <row r="7" spans="1:17" ht="22" customHeight="1" x14ac:dyDescent="0.35">
      <c r="B7" s="8"/>
      <c r="C7" s="8"/>
      <c r="D7" s="8"/>
      <c r="F7" s="8"/>
      <c r="G7" s="8"/>
      <c r="H7" s="8"/>
      <c r="J7" s="8"/>
      <c r="K7" s="8"/>
      <c r="L7" s="8"/>
      <c r="N7" s="11"/>
      <c r="O7" s="11"/>
      <c r="P7" s="11"/>
    </row>
    <row r="8" spans="1:17" ht="22" customHeight="1" x14ac:dyDescent="0.35">
      <c r="B8" s="9"/>
      <c r="C8" s="9"/>
      <c r="D8" s="9"/>
      <c r="F8" s="9"/>
      <c r="G8" s="9"/>
      <c r="H8" s="9"/>
      <c r="J8" s="9"/>
      <c r="K8" s="9"/>
      <c r="L8" s="9"/>
      <c r="N8" s="9"/>
      <c r="O8" s="9"/>
      <c r="P8" s="9"/>
    </row>
    <row r="9" spans="1:17" ht="22" customHeight="1" x14ac:dyDescent="0.35">
      <c r="B9" s="7" t="s">
        <v>79</v>
      </c>
      <c r="C9" s="7"/>
      <c r="D9" s="7"/>
      <c r="F9" s="7" t="s">
        <v>80</v>
      </c>
      <c r="G9" s="7"/>
      <c r="H9" s="7"/>
    </row>
    <row r="10" spans="1:17" ht="22" customHeight="1" x14ac:dyDescent="0.35">
      <c r="B10" s="7"/>
      <c r="C10" s="7"/>
      <c r="D10" s="7"/>
      <c r="F10" s="7"/>
      <c r="G10" s="7"/>
      <c r="H10" s="7"/>
    </row>
    <row r="11" spans="1:17" ht="22" customHeight="1" x14ac:dyDescent="0.35">
      <c r="B11" s="11">
        <f>GETPIVOTDATA("MonthlyIncome",'PIVOT TABLES'!$A$88)</f>
        <v>6502.931292517007</v>
      </c>
      <c r="C11" s="11"/>
      <c r="D11" s="11"/>
      <c r="F11" s="11">
        <f>GETPIVOTDATA("YearsAtCompany",'PIVOT TABLES'!$A$102)</f>
        <v>7.0081632653061225</v>
      </c>
      <c r="G11" s="11"/>
      <c r="H11" s="11"/>
    </row>
    <row r="12" spans="1:17" ht="22" customHeight="1" x14ac:dyDescent="0.35">
      <c r="B12" s="11"/>
      <c r="C12" s="11"/>
      <c r="D12" s="11"/>
      <c r="F12" s="11"/>
      <c r="G12" s="11"/>
      <c r="H12" s="11"/>
    </row>
    <row r="13" spans="1:17" ht="22" customHeight="1" x14ac:dyDescent="0.35">
      <c r="B13" s="9"/>
      <c r="C13" s="9"/>
      <c r="D13" s="12"/>
      <c r="F13" s="9"/>
      <c r="G13" s="9"/>
      <c r="H13" s="9"/>
    </row>
    <row r="14" spans="1:17" ht="22" customHeight="1" x14ac:dyDescent="0.35"/>
    <row r="15" spans="1:17" ht="22" customHeight="1" x14ac:dyDescent="0.35"/>
    <row r="16" spans="1:17" ht="22" customHeight="1" x14ac:dyDescent="0.35"/>
    <row r="17" ht="22" customHeight="1" x14ac:dyDescent="0.35"/>
    <row r="18" ht="22" customHeight="1" x14ac:dyDescent="0.35"/>
    <row r="19" ht="22" customHeight="1" x14ac:dyDescent="0.35"/>
    <row r="20" ht="22" customHeight="1" x14ac:dyDescent="0.35"/>
    <row r="21" ht="22" customHeight="1" x14ac:dyDescent="0.35"/>
    <row r="22" ht="22" customHeight="1" x14ac:dyDescent="0.35"/>
    <row r="23" ht="22" customHeight="1" x14ac:dyDescent="0.35"/>
    <row r="24" ht="22" customHeight="1" x14ac:dyDescent="0.35"/>
    <row r="25" ht="22" customHeight="1" x14ac:dyDescent="0.35"/>
    <row r="26" ht="22" customHeight="1" x14ac:dyDescent="0.35"/>
    <row r="27" ht="22" customHeight="1" x14ac:dyDescent="0.35"/>
    <row r="28" ht="22" customHeight="1" x14ac:dyDescent="0.35"/>
    <row r="29" ht="22" customHeight="1" x14ac:dyDescent="0.35"/>
    <row r="30" ht="22" customHeight="1" x14ac:dyDescent="0.35"/>
    <row r="31" ht="22" customHeight="1" x14ac:dyDescent="0.35"/>
    <row r="32" ht="22" customHeight="1" x14ac:dyDescent="0.35"/>
    <row r="33" ht="22" customHeight="1" x14ac:dyDescent="0.35"/>
    <row r="34" ht="22" customHeight="1" x14ac:dyDescent="0.35"/>
    <row r="35" ht="22" customHeight="1" x14ac:dyDescent="0.35"/>
    <row r="36" ht="22" customHeight="1" x14ac:dyDescent="0.35"/>
    <row r="37" ht="22" customHeight="1" x14ac:dyDescent="0.35"/>
    <row r="38" ht="22" customHeight="1" x14ac:dyDescent="0.35"/>
    <row r="39" ht="22" customHeight="1" x14ac:dyDescent="0.35"/>
    <row r="40" ht="22" customHeight="1" x14ac:dyDescent="0.35"/>
  </sheetData>
  <mergeCells count="13">
    <mergeCell ref="B9:D10"/>
    <mergeCell ref="F9:H10"/>
    <mergeCell ref="J6:L7"/>
    <mergeCell ref="N6:P7"/>
    <mergeCell ref="B11:D12"/>
    <mergeCell ref="F11:H12"/>
    <mergeCell ref="A1:Q2"/>
    <mergeCell ref="B4:D5"/>
    <mergeCell ref="B6:D7"/>
    <mergeCell ref="F4:H5"/>
    <mergeCell ref="F6:H7"/>
    <mergeCell ref="J4:L5"/>
    <mergeCell ref="N4: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ANALYTICS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GAUN</dc:creator>
  <cp:lastModifiedBy>Gaun Goyal</cp:lastModifiedBy>
  <dcterms:created xsi:type="dcterms:W3CDTF">2026-07-18T07:26:58Z</dcterms:created>
  <dcterms:modified xsi:type="dcterms:W3CDTF">2026-07-18T14:41:07Z</dcterms:modified>
</cp:coreProperties>
</file>